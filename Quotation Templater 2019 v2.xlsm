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ri-server\Parking Quotations\2019\"/>
    </mc:Choice>
  </mc:AlternateContent>
  <workbookProtection workbookAlgorithmName="SHA-512" workbookHashValue="LTXZFldsBGNKSfDjbHz0sNLsJ3hdEBfiaAYNsrU9L/og4pNrSm33CXyoi1+Ji/rPPRl09FQU2rW1dkxXhc715w==" workbookSaltValue="G+OKEHQsZzDGyVzPwnctBQ==" workbookSpinCount="100000" lockStructure="1"/>
  <bookViews>
    <workbookView xWindow="0" yWindow="0" windowWidth="20400" windowHeight="7035"/>
  </bookViews>
  <sheets>
    <sheet name="Dashboard" sheetId="2" r:id="rId1"/>
    <sheet name="Logs" sheetId="23" state="hidden" r:id="rId2"/>
    <sheet name="Template" sheetId="1" r:id="rId3"/>
    <sheet name="19-016" sheetId="28" r:id="rId4"/>
    <sheet name="19-015" sheetId="27" r:id="rId5"/>
    <sheet name="19-014" sheetId="25" r:id="rId6"/>
    <sheet name="19-013" sheetId="24" r:id="rId7"/>
  </sheets>
  <functionGroups builtInGroupCount="18"/>
  <definedNames>
    <definedName name="ColumnTitle1" localSheetId="6">#REF!</definedName>
    <definedName name="ColumnTitle1" localSheetId="5">#REF!</definedName>
    <definedName name="ColumnTitle1" localSheetId="4">#REF!</definedName>
    <definedName name="ColumnTitle1" localSheetId="3">#REF!</definedName>
    <definedName name="ColumnTitle1">#REF!</definedName>
    <definedName name="ColumnTitleRegion1..B11.1" localSheetId="6">'19-013'!$B$4</definedName>
    <definedName name="ColumnTitleRegion1..B11.1" localSheetId="5">'19-014'!$B$4</definedName>
    <definedName name="ColumnTitleRegion1..B11.1" localSheetId="4">'19-015'!$B$4</definedName>
    <definedName name="ColumnTitleRegion1..B11.1" localSheetId="3">'19-016'!$B$4</definedName>
    <definedName name="ColumnTitleRegion1..B11.1">Template!$B$4</definedName>
    <definedName name="ColumnTitleRegion2..G14.1" localSheetId="6">'19-013'!#REF!</definedName>
    <definedName name="ColumnTitleRegion2..G14.1" localSheetId="5">'19-014'!#REF!</definedName>
    <definedName name="ColumnTitleRegion2..G14.1" localSheetId="4">'19-015'!#REF!</definedName>
    <definedName name="ColumnTitleRegion2..G14.1" localSheetId="3">'19-016'!#REF!</definedName>
    <definedName name="ColumnTitleRegion2..G14.1">Template!#REF!</definedName>
    <definedName name="_xlnm.Print_Area" localSheetId="6">'19-013'!$A$1:$G$43</definedName>
    <definedName name="_xlnm.Print_Area" localSheetId="5">'19-014'!$A$1:$G$43</definedName>
    <definedName name="_xlnm.Print_Area" localSheetId="4">'19-015'!$A$1:$G$272</definedName>
    <definedName name="_xlnm.Print_Area" localSheetId="3">'19-016'!$A$1:$G$231</definedName>
    <definedName name="_xlnm.Print_Area" localSheetId="0">Dashboard!$A$1:$K$32</definedName>
    <definedName name="_xlnm.Print_Area" localSheetId="2">Template!$A$1:$G$213</definedName>
    <definedName name="_xlnm.Print_Titles" localSheetId="6">'19-013'!$13:$13</definedName>
    <definedName name="_xlnm.Print_Titles" localSheetId="5">'19-014'!$13:$13</definedName>
    <definedName name="RowTitleRegion1..G4" localSheetId="6">'19-013'!#REF!</definedName>
    <definedName name="RowTitleRegion1..G4" localSheetId="5">'19-014'!#REF!</definedName>
    <definedName name="RowTitleRegion1..G4" localSheetId="4">'19-015'!#REF!</definedName>
    <definedName name="RowTitleRegion1..G4" localSheetId="3">'19-016'!#REF!</definedName>
    <definedName name="RowTitleRegion1..G4">Template!#REF!</definedName>
    <definedName name="RowTitleRegion2..G7" localSheetId="6">'19-013'!$E$4</definedName>
    <definedName name="RowTitleRegion2..G7" localSheetId="5">'19-014'!$E$4</definedName>
    <definedName name="RowTitleRegion2..G7" localSheetId="4">'19-015'!$E$4</definedName>
    <definedName name="RowTitleRegion2..G7" localSheetId="3">'19-016'!$E$4</definedName>
    <definedName name="RowTitleRegion2..G7">Template!$E$4</definedName>
    <definedName name="RowTitleRegion3..D12" localSheetId="6">'19-013'!$B$12</definedName>
    <definedName name="RowTitleRegion3..D12" localSheetId="5">'19-014'!$B$12</definedName>
    <definedName name="RowTitleRegion3..D12" localSheetId="4">'19-015'!$B$12</definedName>
    <definedName name="RowTitleRegion3..D12" localSheetId="3">'19-016'!$B$12</definedName>
    <definedName name="RowTitleRegion3..D12">Template!$B$12</definedName>
    <definedName name="RowTitleRegion4..G26" localSheetId="6">'19-013'!$E$33</definedName>
    <definedName name="RowTitleRegion4..G26" localSheetId="5">'19-014'!$E$33</definedName>
    <definedName name="RowTitleRegion4..G26" localSheetId="4">'19-015'!$E$33</definedName>
    <definedName name="RowTitleRegion4..G26" localSheetId="3">'19-016'!$E$33</definedName>
    <definedName name="RowTitleRegion4..G26">Template!$E$33</definedName>
  </definedNames>
  <calcPr calcId="152511"/>
</workbook>
</file>

<file path=xl/calcChain.xml><?xml version="1.0" encoding="utf-8"?>
<calcChain xmlns="http://schemas.openxmlformats.org/spreadsheetml/2006/main">
  <c r="K163" i="28" l="1"/>
  <c r="E163" i="28"/>
  <c r="F163" i="28" s="1"/>
  <c r="F164" i="28" s="1"/>
  <c r="K168" i="28"/>
  <c r="E168" i="28"/>
  <c r="F168" i="28" s="1"/>
  <c r="K167" i="28"/>
  <c r="E167" i="28"/>
  <c r="F167" i="28" s="1"/>
  <c r="K87" i="28"/>
  <c r="E87" i="28"/>
  <c r="F87" i="28" s="1"/>
  <c r="K71" i="28"/>
  <c r="E71" i="28"/>
  <c r="F71" i="28" s="1"/>
  <c r="K69" i="28"/>
  <c r="E69" i="28"/>
  <c r="F69" i="28" s="1"/>
  <c r="K70" i="28"/>
  <c r="E70" i="28"/>
  <c r="F70" i="28" s="1"/>
  <c r="K153" i="28"/>
  <c r="E153" i="28"/>
  <c r="F153" i="28" s="1"/>
  <c r="K229" i="28"/>
  <c r="E229" i="28"/>
  <c r="F229" i="28" s="1"/>
  <c r="K228" i="28"/>
  <c r="E228" i="28"/>
  <c r="F228" i="28" s="1"/>
  <c r="F230" i="28" s="1"/>
  <c r="K224" i="28"/>
  <c r="E224" i="28"/>
  <c r="F224" i="28" s="1"/>
  <c r="K223" i="28"/>
  <c r="E223" i="28"/>
  <c r="F223" i="28" s="1"/>
  <c r="K222" i="28"/>
  <c r="E222" i="28"/>
  <c r="F222" i="28" s="1"/>
  <c r="K221" i="28"/>
  <c r="E221" i="28"/>
  <c r="F221" i="28" s="1"/>
  <c r="K220" i="28"/>
  <c r="E220" i="28"/>
  <c r="F220" i="28" s="1"/>
  <c r="K214" i="28"/>
  <c r="E214" i="28"/>
  <c r="F214" i="28" s="1"/>
  <c r="K213" i="28"/>
  <c r="E213" i="28"/>
  <c r="F213" i="28" s="1"/>
  <c r="K212" i="28"/>
  <c r="E212" i="28"/>
  <c r="F212" i="28" s="1"/>
  <c r="K208" i="28"/>
  <c r="E208" i="28"/>
  <c r="F208" i="28" s="1"/>
  <c r="K207" i="28"/>
  <c r="E207" i="28"/>
  <c r="F207" i="28" s="1"/>
  <c r="K206" i="28"/>
  <c r="E206" i="28"/>
  <c r="F206" i="28" s="1"/>
  <c r="K205" i="28"/>
  <c r="E205" i="28"/>
  <c r="F205" i="28" s="1"/>
  <c r="K204" i="28"/>
  <c r="E204" i="28"/>
  <c r="F204" i="28" s="1"/>
  <c r="K203" i="28"/>
  <c r="E203" i="28"/>
  <c r="F203" i="28" s="1"/>
  <c r="K202" i="28"/>
  <c r="E202" i="28"/>
  <c r="F202" i="28" s="1"/>
  <c r="F196" i="28"/>
  <c r="F195" i="28"/>
  <c r="F191" i="28"/>
  <c r="F190" i="28"/>
  <c r="F189" i="28"/>
  <c r="F188" i="28"/>
  <c r="F187" i="28"/>
  <c r="F176" i="28"/>
  <c r="F175" i="28"/>
  <c r="F174" i="28"/>
  <c r="F173" i="28"/>
  <c r="F172" i="28"/>
  <c r="K159" i="28"/>
  <c r="E159" i="28"/>
  <c r="F159" i="28" s="1"/>
  <c r="K158" i="28"/>
  <c r="E158" i="28"/>
  <c r="F158" i="28" s="1"/>
  <c r="K157" i="28"/>
  <c r="E157" i="28"/>
  <c r="F157" i="28" s="1"/>
  <c r="K156" i="28"/>
  <c r="E156" i="28"/>
  <c r="F156" i="28" s="1"/>
  <c r="K155" i="28"/>
  <c r="E155" i="28"/>
  <c r="F155" i="28" s="1"/>
  <c r="K154" i="28"/>
  <c r="E154" i="28"/>
  <c r="F154" i="28" s="1"/>
  <c r="K152" i="28"/>
  <c r="E152" i="28"/>
  <c r="F152" i="28" s="1"/>
  <c r="K151" i="28"/>
  <c r="E151" i="28"/>
  <c r="F151" i="28" s="1"/>
  <c r="K150" i="28"/>
  <c r="E150" i="28"/>
  <c r="F150" i="28" s="1"/>
  <c r="K149" i="28"/>
  <c r="E149" i="28"/>
  <c r="F149" i="28" s="1"/>
  <c r="K148" i="28"/>
  <c r="E148" i="28"/>
  <c r="F148" i="28" s="1"/>
  <c r="F160" i="28" s="1"/>
  <c r="K144" i="28"/>
  <c r="E144" i="28"/>
  <c r="F144" i="28" s="1"/>
  <c r="K143" i="28"/>
  <c r="E143" i="28"/>
  <c r="F143" i="28" s="1"/>
  <c r="K142" i="28"/>
  <c r="E142" i="28"/>
  <c r="F142" i="28" s="1"/>
  <c r="K141" i="28"/>
  <c r="E141" i="28"/>
  <c r="F141" i="28" s="1"/>
  <c r="K140" i="28"/>
  <c r="E140" i="28"/>
  <c r="F140" i="28" s="1"/>
  <c r="K139" i="28"/>
  <c r="E139" i="28"/>
  <c r="F139" i="28" s="1"/>
  <c r="K138" i="28"/>
  <c r="E138" i="28"/>
  <c r="F138" i="28" s="1"/>
  <c r="K137" i="28"/>
  <c r="E137" i="28"/>
  <c r="F137" i="28" s="1"/>
  <c r="K136" i="28"/>
  <c r="E136" i="28"/>
  <c r="F136" i="28" s="1"/>
  <c r="K135" i="28"/>
  <c r="E135" i="28"/>
  <c r="F135" i="28" s="1"/>
  <c r="K134" i="28"/>
  <c r="E134" i="28"/>
  <c r="F134" i="28" s="1"/>
  <c r="K133" i="28"/>
  <c r="E133" i="28"/>
  <c r="F133" i="28" s="1"/>
  <c r="F145" i="28" s="1"/>
  <c r="K129" i="28"/>
  <c r="E129" i="28"/>
  <c r="F129" i="28" s="1"/>
  <c r="K128" i="28"/>
  <c r="E128" i="28"/>
  <c r="F128" i="28" s="1"/>
  <c r="K127" i="28"/>
  <c r="E127" i="28"/>
  <c r="F127" i="28" s="1"/>
  <c r="K126" i="28"/>
  <c r="E126" i="28"/>
  <c r="F126" i="28" s="1"/>
  <c r="K125" i="28"/>
  <c r="E125" i="28"/>
  <c r="F125" i="28" s="1"/>
  <c r="K124" i="28"/>
  <c r="E124" i="28"/>
  <c r="F124" i="28" s="1"/>
  <c r="K123" i="28"/>
  <c r="E123" i="28"/>
  <c r="F123" i="28" s="1"/>
  <c r="K122" i="28"/>
  <c r="E122" i="28"/>
  <c r="F122" i="28" s="1"/>
  <c r="K121" i="28"/>
  <c r="E121" i="28"/>
  <c r="F121" i="28" s="1"/>
  <c r="F130" i="28" s="1"/>
  <c r="K117" i="28"/>
  <c r="E117" i="28"/>
  <c r="F117" i="28" s="1"/>
  <c r="K116" i="28"/>
  <c r="E116" i="28"/>
  <c r="F116" i="28" s="1"/>
  <c r="K115" i="28"/>
  <c r="E115" i="28"/>
  <c r="F115" i="28" s="1"/>
  <c r="K114" i="28"/>
  <c r="E114" i="28"/>
  <c r="F114" i="28" s="1"/>
  <c r="K113" i="28"/>
  <c r="E113" i="28"/>
  <c r="F113" i="28" s="1"/>
  <c r="K112" i="28"/>
  <c r="E112" i="28"/>
  <c r="F112" i="28" s="1"/>
  <c r="K111" i="28"/>
  <c r="E111" i="28"/>
  <c r="F111" i="28" s="1"/>
  <c r="K110" i="28"/>
  <c r="E110" i="28"/>
  <c r="F110" i="28" s="1"/>
  <c r="K109" i="28"/>
  <c r="E109" i="28"/>
  <c r="F109" i="28" s="1"/>
  <c r="K108" i="28"/>
  <c r="E108" i="28"/>
  <c r="F108" i="28" s="1"/>
  <c r="K107" i="28"/>
  <c r="E107" i="28"/>
  <c r="F107" i="28" s="1"/>
  <c r="K106" i="28"/>
  <c r="E106" i="28"/>
  <c r="F106" i="28" s="1"/>
  <c r="K105" i="28"/>
  <c r="E105" i="28"/>
  <c r="F105" i="28" s="1"/>
  <c r="K104" i="28"/>
  <c r="E104" i="28"/>
  <c r="F104" i="28" s="1"/>
  <c r="K103" i="28"/>
  <c r="E103" i="28"/>
  <c r="F103" i="28" s="1"/>
  <c r="K99" i="28"/>
  <c r="E99" i="28"/>
  <c r="F99" i="28" s="1"/>
  <c r="K98" i="28"/>
  <c r="E98" i="28"/>
  <c r="F98" i="28" s="1"/>
  <c r="K97" i="28"/>
  <c r="E97" i="28"/>
  <c r="F97" i="28" s="1"/>
  <c r="K96" i="28"/>
  <c r="E96" i="28"/>
  <c r="F96" i="28" s="1"/>
  <c r="K95" i="28"/>
  <c r="E95" i="28"/>
  <c r="F95" i="28" s="1"/>
  <c r="K94" i="28"/>
  <c r="E94" i="28"/>
  <c r="F94" i="28" s="1"/>
  <c r="K93" i="28"/>
  <c r="E93" i="28"/>
  <c r="F93" i="28" s="1"/>
  <c r="K92" i="28"/>
  <c r="E92" i="28"/>
  <c r="F92" i="28" s="1"/>
  <c r="K91" i="28"/>
  <c r="E91" i="28"/>
  <c r="F91" i="28" s="1"/>
  <c r="K90" i="28"/>
  <c r="E90" i="28"/>
  <c r="F90" i="28" s="1"/>
  <c r="K89" i="28"/>
  <c r="E89" i="28"/>
  <c r="F89" i="28" s="1"/>
  <c r="K88" i="28"/>
  <c r="E88" i="28"/>
  <c r="F88" i="28" s="1"/>
  <c r="K86" i="28"/>
  <c r="E86" i="28"/>
  <c r="F86" i="28" s="1"/>
  <c r="K85" i="28"/>
  <c r="E85" i="28"/>
  <c r="F85" i="28" s="1"/>
  <c r="K84" i="28"/>
  <c r="E84" i="28"/>
  <c r="F84" i="28" s="1"/>
  <c r="K83" i="28"/>
  <c r="E83" i="28"/>
  <c r="F83" i="28" s="1"/>
  <c r="K82" i="28"/>
  <c r="E82" i="28"/>
  <c r="F82" i="28" s="1"/>
  <c r="K81" i="28"/>
  <c r="E81" i="28"/>
  <c r="F81" i="28" s="1"/>
  <c r="K80" i="28"/>
  <c r="E80" i="28"/>
  <c r="F80" i="28" s="1"/>
  <c r="K79" i="28"/>
  <c r="E79" i="28"/>
  <c r="F79" i="28" s="1"/>
  <c r="K78" i="28"/>
  <c r="E78" i="28"/>
  <c r="F78" i="28" s="1"/>
  <c r="K77" i="28"/>
  <c r="E77" i="28"/>
  <c r="F77" i="28" s="1"/>
  <c r="K76" i="28"/>
  <c r="E76" i="28"/>
  <c r="F76" i="28" s="1"/>
  <c r="K75" i="28"/>
  <c r="E75" i="28"/>
  <c r="F75" i="28" s="1"/>
  <c r="K65" i="28"/>
  <c r="E65" i="28"/>
  <c r="F65" i="28" s="1"/>
  <c r="K64" i="28"/>
  <c r="E64" i="28"/>
  <c r="F64" i="28" s="1"/>
  <c r="K63" i="28"/>
  <c r="E63" i="28"/>
  <c r="F63" i="28" s="1"/>
  <c r="K62" i="28"/>
  <c r="E62" i="28"/>
  <c r="F62" i="28" s="1"/>
  <c r="K61" i="28"/>
  <c r="E61" i="28"/>
  <c r="F61" i="28" s="1"/>
  <c r="K60" i="28"/>
  <c r="E60" i="28"/>
  <c r="F60" i="28" s="1"/>
  <c r="K59" i="28"/>
  <c r="E59" i="28"/>
  <c r="F59" i="28" s="1"/>
  <c r="K58" i="28"/>
  <c r="E58" i="28"/>
  <c r="F58" i="28" s="1"/>
  <c r="K57" i="28"/>
  <c r="E57" i="28"/>
  <c r="F57" i="28" s="1"/>
  <c r="K56" i="28"/>
  <c r="E56" i="28"/>
  <c r="F56" i="28" s="1"/>
  <c r="K55" i="28"/>
  <c r="E55" i="28"/>
  <c r="F55" i="28" s="1"/>
  <c r="K54" i="28"/>
  <c r="E54" i="28"/>
  <c r="F54" i="28" s="1"/>
  <c r="K53" i="28"/>
  <c r="E53" i="28"/>
  <c r="F53" i="28" s="1"/>
  <c r="K52" i="28"/>
  <c r="E52" i="28"/>
  <c r="F52" i="28" s="1"/>
  <c r="K51" i="28"/>
  <c r="E51" i="28"/>
  <c r="F51" i="28" s="1"/>
  <c r="F66" i="28" s="1"/>
  <c r="B48" i="28"/>
  <c r="H31" i="28"/>
  <c r="I29" i="28"/>
  <c r="F28" i="28"/>
  <c r="F27" i="28"/>
  <c r="F26" i="28"/>
  <c r="F25" i="28"/>
  <c r="F24" i="28"/>
  <c r="F23" i="28"/>
  <c r="F22" i="28"/>
  <c r="F21" i="28"/>
  <c r="F20" i="28"/>
  <c r="F19" i="28"/>
  <c r="F18" i="28"/>
  <c r="F17" i="28"/>
  <c r="F16" i="28"/>
  <c r="F15" i="28"/>
  <c r="F14" i="28"/>
  <c r="F13" i="28"/>
  <c r="F12" i="28"/>
  <c r="F6" i="28"/>
  <c r="F29" i="28" l="1"/>
  <c r="F30" i="28" s="1"/>
  <c r="F31" i="28" s="1"/>
  <c r="I31" i="28" s="1"/>
  <c r="F72" i="28"/>
  <c r="F177" i="28"/>
  <c r="F192" i="28"/>
  <c r="F100" i="28"/>
  <c r="F169" i="28"/>
  <c r="F209" i="28"/>
  <c r="F215" i="28"/>
  <c r="K49" i="28"/>
  <c r="F118" i="28"/>
  <c r="F225" i="28"/>
  <c r="F223" i="27"/>
  <c r="K169" i="27"/>
  <c r="E169" i="27"/>
  <c r="F169" i="27" s="1"/>
  <c r="K168" i="27"/>
  <c r="E168" i="27"/>
  <c r="F168" i="27" s="1"/>
  <c r="K167" i="27"/>
  <c r="E167" i="27"/>
  <c r="F167" i="27" s="1"/>
  <c r="K166" i="27"/>
  <c r="E166" i="27"/>
  <c r="F166" i="27" s="1"/>
  <c r="K165" i="27"/>
  <c r="E165" i="27"/>
  <c r="F165" i="27" s="1"/>
  <c r="K164" i="27"/>
  <c r="E164" i="27"/>
  <c r="F164" i="27" s="1"/>
  <c r="K163" i="27"/>
  <c r="E163" i="27"/>
  <c r="F163" i="27" s="1"/>
  <c r="K162" i="27"/>
  <c r="E162" i="27"/>
  <c r="F162" i="27" s="1"/>
  <c r="K161" i="27"/>
  <c r="E161" i="27"/>
  <c r="F161" i="27" s="1"/>
  <c r="K160" i="27"/>
  <c r="E160" i="27"/>
  <c r="F160" i="27" s="1"/>
  <c r="K159" i="27"/>
  <c r="E159" i="27"/>
  <c r="F159" i="27" s="1"/>
  <c r="K158" i="27"/>
  <c r="E158" i="27"/>
  <c r="F158" i="27" s="1"/>
  <c r="K157" i="27"/>
  <c r="E157" i="27"/>
  <c r="F157" i="27" s="1"/>
  <c r="K148" i="27"/>
  <c r="E148" i="27"/>
  <c r="F148" i="27" s="1"/>
  <c r="K147" i="27"/>
  <c r="E147" i="27"/>
  <c r="F147" i="27" s="1"/>
  <c r="K153" i="27"/>
  <c r="E153" i="27"/>
  <c r="F153" i="27" s="1"/>
  <c r="K152" i="27"/>
  <c r="E152" i="27"/>
  <c r="F152" i="27" s="1"/>
  <c r="K151" i="27"/>
  <c r="E151" i="27"/>
  <c r="F151" i="27" s="1"/>
  <c r="K150" i="27"/>
  <c r="E150" i="27"/>
  <c r="F150" i="27" s="1"/>
  <c r="K149" i="27"/>
  <c r="E149" i="27"/>
  <c r="F149" i="27" s="1"/>
  <c r="K146" i="27"/>
  <c r="E146" i="27"/>
  <c r="F146" i="27" s="1"/>
  <c r="K145" i="27"/>
  <c r="E145" i="27"/>
  <c r="F145" i="27" s="1"/>
  <c r="K144" i="27"/>
  <c r="E144" i="27"/>
  <c r="F144" i="27" s="1"/>
  <c r="K143" i="27"/>
  <c r="E143" i="27"/>
  <c r="F143" i="27" s="1"/>
  <c r="K142" i="27"/>
  <c r="E142" i="27"/>
  <c r="F142" i="27" s="1"/>
  <c r="K141" i="27"/>
  <c r="E141" i="27"/>
  <c r="F141" i="27" s="1"/>
  <c r="K140" i="27"/>
  <c r="E140" i="27"/>
  <c r="F140" i="27" s="1"/>
  <c r="K139" i="27"/>
  <c r="E139" i="27"/>
  <c r="F139" i="27" s="1"/>
  <c r="K138" i="27"/>
  <c r="E138" i="27"/>
  <c r="F138" i="27" s="1"/>
  <c r="K137" i="27"/>
  <c r="E137" i="27"/>
  <c r="F137" i="27" s="1"/>
  <c r="K88" i="27"/>
  <c r="E88" i="27"/>
  <c r="F88" i="27" s="1"/>
  <c r="K87" i="27"/>
  <c r="E87" i="27"/>
  <c r="F87" i="27" s="1"/>
  <c r="K86" i="27"/>
  <c r="E86" i="27"/>
  <c r="F86" i="27" s="1"/>
  <c r="K85" i="27"/>
  <c r="E85" i="27"/>
  <c r="F85" i="27" s="1"/>
  <c r="K84" i="27"/>
  <c r="E84" i="27"/>
  <c r="F84" i="27" s="1"/>
  <c r="K83" i="27"/>
  <c r="E83" i="27"/>
  <c r="F83" i="27" s="1"/>
  <c r="K82" i="27"/>
  <c r="E82" i="27"/>
  <c r="F82" i="27" s="1"/>
  <c r="K81" i="27"/>
  <c r="E81" i="27"/>
  <c r="F81" i="27" s="1"/>
  <c r="K80" i="27"/>
  <c r="E80" i="27"/>
  <c r="F80" i="27" s="1"/>
  <c r="K79" i="27"/>
  <c r="E79" i="27"/>
  <c r="F79" i="27" s="1"/>
  <c r="K78" i="27"/>
  <c r="E78" i="27"/>
  <c r="F78" i="27" s="1"/>
  <c r="K77" i="27"/>
  <c r="E77" i="27"/>
  <c r="F77" i="27" s="1"/>
  <c r="K76" i="27"/>
  <c r="E76" i="27"/>
  <c r="F76" i="27" s="1"/>
  <c r="K75" i="27"/>
  <c r="E75" i="27"/>
  <c r="F75" i="27" s="1"/>
  <c r="K74" i="27"/>
  <c r="E74" i="27"/>
  <c r="F74" i="27" s="1"/>
  <c r="K270" i="27"/>
  <c r="E270" i="27"/>
  <c r="F270" i="27" s="1"/>
  <c r="K269" i="27"/>
  <c r="E269" i="27"/>
  <c r="F269" i="27" s="1"/>
  <c r="F271" i="27" s="1"/>
  <c r="K265" i="27"/>
  <c r="E265" i="27"/>
  <c r="F265" i="27" s="1"/>
  <c r="K264" i="27"/>
  <c r="E264" i="27"/>
  <c r="F264" i="27" s="1"/>
  <c r="K263" i="27"/>
  <c r="E263" i="27"/>
  <c r="F263" i="27" s="1"/>
  <c r="K262" i="27"/>
  <c r="E262" i="27"/>
  <c r="F262" i="27" s="1"/>
  <c r="K261" i="27"/>
  <c r="E261" i="27"/>
  <c r="F261" i="27" s="1"/>
  <c r="K255" i="27"/>
  <c r="E255" i="27"/>
  <c r="F255" i="27" s="1"/>
  <c r="K254" i="27"/>
  <c r="E254" i="27"/>
  <c r="F254" i="27" s="1"/>
  <c r="K253" i="27"/>
  <c r="E253" i="27"/>
  <c r="F253" i="27" s="1"/>
  <c r="K249" i="27"/>
  <c r="E249" i="27"/>
  <c r="F249" i="27" s="1"/>
  <c r="K248" i="27"/>
  <c r="E248" i="27"/>
  <c r="F248" i="27" s="1"/>
  <c r="K247" i="27"/>
  <c r="E247" i="27"/>
  <c r="F247" i="27" s="1"/>
  <c r="K246" i="27"/>
  <c r="E246" i="27"/>
  <c r="F246" i="27" s="1"/>
  <c r="K245" i="27"/>
  <c r="E245" i="27"/>
  <c r="F245" i="27" s="1"/>
  <c r="K244" i="27"/>
  <c r="E244" i="27"/>
  <c r="F244" i="27" s="1"/>
  <c r="K243" i="27"/>
  <c r="E243" i="27"/>
  <c r="F243" i="27" s="1"/>
  <c r="F237" i="27"/>
  <c r="F236" i="27"/>
  <c r="F232" i="27"/>
  <c r="F231" i="27"/>
  <c r="F230" i="27"/>
  <c r="F229" i="27"/>
  <c r="F228" i="27"/>
  <c r="K218" i="27"/>
  <c r="F218" i="27"/>
  <c r="K217" i="27"/>
  <c r="F217" i="27"/>
  <c r="K216" i="27"/>
  <c r="F216" i="27"/>
  <c r="K215" i="27"/>
  <c r="F215" i="27"/>
  <c r="K214" i="27"/>
  <c r="F214" i="27"/>
  <c r="F219" i="27" s="1"/>
  <c r="K210" i="27"/>
  <c r="E210" i="27"/>
  <c r="F210" i="27" s="1"/>
  <c r="K209" i="27"/>
  <c r="E209" i="27"/>
  <c r="F209" i="27" s="1"/>
  <c r="K208" i="27"/>
  <c r="E208" i="27"/>
  <c r="F208" i="27" s="1"/>
  <c r="K207" i="27"/>
  <c r="E207" i="27"/>
  <c r="F207" i="27" s="1"/>
  <c r="K206" i="27"/>
  <c r="E206" i="27"/>
  <c r="F206" i="27" s="1"/>
  <c r="K205" i="27"/>
  <c r="E205" i="27"/>
  <c r="F205" i="27" s="1"/>
  <c r="K204" i="27"/>
  <c r="E204" i="27"/>
  <c r="F204" i="27" s="1"/>
  <c r="K203" i="27"/>
  <c r="E203" i="27"/>
  <c r="F203" i="27" s="1"/>
  <c r="K202" i="27"/>
  <c r="E202" i="27"/>
  <c r="F202" i="27" s="1"/>
  <c r="K201" i="27"/>
  <c r="E201" i="27"/>
  <c r="F201" i="27" s="1"/>
  <c r="K200" i="27"/>
  <c r="E200" i="27"/>
  <c r="F200" i="27" s="1"/>
  <c r="K196" i="27"/>
  <c r="E196" i="27"/>
  <c r="F196" i="27" s="1"/>
  <c r="K195" i="27"/>
  <c r="E195" i="27"/>
  <c r="F195" i="27" s="1"/>
  <c r="K194" i="27"/>
  <c r="E194" i="27"/>
  <c r="F194" i="27" s="1"/>
  <c r="K193" i="27"/>
  <c r="E193" i="27"/>
  <c r="F193" i="27" s="1"/>
  <c r="K192" i="27"/>
  <c r="E192" i="27"/>
  <c r="F192" i="27" s="1"/>
  <c r="K191" i="27"/>
  <c r="E191" i="27"/>
  <c r="F191" i="27" s="1"/>
  <c r="K190" i="27"/>
  <c r="E190" i="27"/>
  <c r="F190" i="27" s="1"/>
  <c r="K189" i="27"/>
  <c r="E189" i="27"/>
  <c r="F189" i="27" s="1"/>
  <c r="K188" i="27"/>
  <c r="E188" i="27"/>
  <c r="F188" i="27" s="1"/>
  <c r="K187" i="27"/>
  <c r="E187" i="27"/>
  <c r="F187" i="27" s="1"/>
  <c r="K186" i="27"/>
  <c r="E186" i="27"/>
  <c r="F186" i="27" s="1"/>
  <c r="K185" i="27"/>
  <c r="E185" i="27"/>
  <c r="F185" i="27" s="1"/>
  <c r="K181" i="27"/>
  <c r="E181" i="27"/>
  <c r="F181" i="27" s="1"/>
  <c r="K180" i="27"/>
  <c r="E180" i="27"/>
  <c r="F180" i="27" s="1"/>
  <c r="K179" i="27"/>
  <c r="E179" i="27"/>
  <c r="F179" i="27" s="1"/>
  <c r="K178" i="27"/>
  <c r="E178" i="27"/>
  <c r="F178" i="27" s="1"/>
  <c r="K177" i="27"/>
  <c r="E177" i="27"/>
  <c r="F177" i="27" s="1"/>
  <c r="K176" i="27"/>
  <c r="E176" i="27"/>
  <c r="F176" i="27" s="1"/>
  <c r="K175" i="27"/>
  <c r="E175" i="27"/>
  <c r="F175" i="27" s="1"/>
  <c r="K174" i="27"/>
  <c r="E174" i="27"/>
  <c r="F174" i="27" s="1"/>
  <c r="K173" i="27"/>
  <c r="E173" i="27"/>
  <c r="F173" i="27" s="1"/>
  <c r="K133" i="27"/>
  <c r="E133" i="27"/>
  <c r="F133" i="27" s="1"/>
  <c r="K132" i="27"/>
  <c r="E132" i="27"/>
  <c r="F132" i="27" s="1"/>
  <c r="K131" i="27"/>
  <c r="E131" i="27"/>
  <c r="F131" i="27" s="1"/>
  <c r="K130" i="27"/>
  <c r="E130" i="27"/>
  <c r="F130" i="27" s="1"/>
  <c r="K129" i="27"/>
  <c r="E129" i="27"/>
  <c r="F129" i="27" s="1"/>
  <c r="K128" i="27"/>
  <c r="E128" i="27"/>
  <c r="F128" i="27" s="1"/>
  <c r="K127" i="27"/>
  <c r="E127" i="27"/>
  <c r="F127" i="27" s="1"/>
  <c r="K126" i="27"/>
  <c r="E126" i="27"/>
  <c r="F126" i="27" s="1"/>
  <c r="K125" i="27"/>
  <c r="E125" i="27"/>
  <c r="F125" i="27" s="1"/>
  <c r="K124" i="27"/>
  <c r="E124" i="27"/>
  <c r="F124" i="27" s="1"/>
  <c r="K123" i="27"/>
  <c r="E123" i="27"/>
  <c r="F123" i="27" s="1"/>
  <c r="K122" i="27"/>
  <c r="E122" i="27"/>
  <c r="F122" i="27" s="1"/>
  <c r="K121" i="27"/>
  <c r="E121" i="27"/>
  <c r="F121" i="27" s="1"/>
  <c r="K120" i="27"/>
  <c r="E120" i="27"/>
  <c r="F120" i="27" s="1"/>
  <c r="K119" i="27"/>
  <c r="E119" i="27"/>
  <c r="F119" i="27" s="1"/>
  <c r="K115" i="27"/>
  <c r="E115" i="27"/>
  <c r="F115" i="27" s="1"/>
  <c r="K114" i="27"/>
  <c r="E114" i="27"/>
  <c r="F114" i="27" s="1"/>
  <c r="K113" i="27"/>
  <c r="E113" i="27"/>
  <c r="F113" i="27" s="1"/>
  <c r="K112" i="27"/>
  <c r="E112" i="27"/>
  <c r="F112" i="27" s="1"/>
  <c r="K111" i="27"/>
  <c r="E111" i="27"/>
  <c r="F111" i="27" s="1"/>
  <c r="K110" i="27"/>
  <c r="E110" i="27"/>
  <c r="F110" i="27" s="1"/>
  <c r="K109" i="27"/>
  <c r="E109" i="27"/>
  <c r="F109" i="27" s="1"/>
  <c r="K108" i="27"/>
  <c r="E108" i="27"/>
  <c r="F108" i="27" s="1"/>
  <c r="K107" i="27"/>
  <c r="E107" i="27"/>
  <c r="F107" i="27" s="1"/>
  <c r="K106" i="27"/>
  <c r="E106" i="27"/>
  <c r="F106" i="27" s="1"/>
  <c r="K105" i="27"/>
  <c r="E105" i="27"/>
  <c r="F105" i="27" s="1"/>
  <c r="K104" i="27"/>
  <c r="E104" i="27"/>
  <c r="F104" i="27" s="1"/>
  <c r="K103" i="27"/>
  <c r="E103" i="27"/>
  <c r="F103" i="27" s="1"/>
  <c r="K102" i="27"/>
  <c r="F102" i="27"/>
  <c r="E102" i="27"/>
  <c r="K101" i="27"/>
  <c r="E101" i="27"/>
  <c r="F101" i="27" s="1"/>
  <c r="K100" i="27"/>
  <c r="E100" i="27"/>
  <c r="F100" i="27" s="1"/>
  <c r="K99" i="27"/>
  <c r="E99" i="27"/>
  <c r="F99" i="27" s="1"/>
  <c r="K98" i="27"/>
  <c r="E98" i="27"/>
  <c r="F98" i="27" s="1"/>
  <c r="K97" i="27"/>
  <c r="E97" i="27"/>
  <c r="F97" i="27" s="1"/>
  <c r="K96" i="27"/>
  <c r="E96" i="27"/>
  <c r="F96" i="27" s="1"/>
  <c r="K95" i="27"/>
  <c r="E95" i="27"/>
  <c r="F95" i="27" s="1"/>
  <c r="K94" i="27"/>
  <c r="E94" i="27"/>
  <c r="F94" i="27" s="1"/>
  <c r="K93" i="27"/>
  <c r="E93" i="27"/>
  <c r="F93" i="27" s="1"/>
  <c r="K92" i="27"/>
  <c r="E92" i="27"/>
  <c r="F92" i="27" s="1"/>
  <c r="K70" i="27"/>
  <c r="E70" i="27"/>
  <c r="F70" i="27" s="1"/>
  <c r="K69" i="27"/>
  <c r="E69" i="27"/>
  <c r="F69" i="27" s="1"/>
  <c r="K68" i="27"/>
  <c r="E68" i="27"/>
  <c r="F68" i="27" s="1"/>
  <c r="K67" i="27"/>
  <c r="E67" i="27"/>
  <c r="F67" i="27" s="1"/>
  <c r="K66" i="27"/>
  <c r="E66" i="27"/>
  <c r="F66" i="27" s="1"/>
  <c r="K65" i="27"/>
  <c r="E65" i="27"/>
  <c r="F65" i="27" s="1"/>
  <c r="K64" i="27"/>
  <c r="E64" i="27"/>
  <c r="F64" i="27" s="1"/>
  <c r="K63" i="27"/>
  <c r="E63" i="27"/>
  <c r="F63" i="27" s="1"/>
  <c r="K62" i="27"/>
  <c r="E62" i="27"/>
  <c r="F62" i="27" s="1"/>
  <c r="K61" i="27"/>
  <c r="E61" i="27"/>
  <c r="F61" i="27" s="1"/>
  <c r="K60" i="27"/>
  <c r="E60" i="27"/>
  <c r="F60" i="27" s="1"/>
  <c r="K59" i="27"/>
  <c r="E59" i="27"/>
  <c r="F59" i="27" s="1"/>
  <c r="K58" i="27"/>
  <c r="E58" i="27"/>
  <c r="F58" i="27" s="1"/>
  <c r="K57" i="27"/>
  <c r="E57" i="27"/>
  <c r="F57" i="27" s="1"/>
  <c r="K56" i="27"/>
  <c r="E56" i="27"/>
  <c r="F56" i="27" s="1"/>
  <c r="B53" i="27"/>
  <c r="D42" i="27"/>
  <c r="H31" i="27"/>
  <c r="I29" i="27"/>
  <c r="F28" i="27"/>
  <c r="F27" i="27"/>
  <c r="F26" i="27"/>
  <c r="F25" i="27"/>
  <c r="F24" i="27"/>
  <c r="F23" i="27"/>
  <c r="F22" i="27"/>
  <c r="F21" i="27"/>
  <c r="F20" i="27"/>
  <c r="F19" i="27"/>
  <c r="F18" i="27"/>
  <c r="F17" i="27"/>
  <c r="F16" i="27"/>
  <c r="F15" i="27"/>
  <c r="F14" i="27"/>
  <c r="F13" i="27"/>
  <c r="F12" i="27"/>
  <c r="F29" i="27" s="1"/>
  <c r="F30" i="27" s="1"/>
  <c r="F31" i="27" s="1"/>
  <c r="I31" i="27" s="1"/>
  <c r="F6" i="27"/>
  <c r="F184" i="28" l="1"/>
  <c r="F170" i="27"/>
  <c r="F256" i="27"/>
  <c r="F182" i="27"/>
  <c r="F197" i="27"/>
  <c r="F154" i="27"/>
  <c r="F116" i="27"/>
  <c r="K54" i="27"/>
  <c r="F71" i="27"/>
  <c r="F89" i="27"/>
  <c r="F134" i="27"/>
  <c r="F211" i="27"/>
  <c r="F250" i="27"/>
  <c r="F266" i="27"/>
  <c r="K211" i="25"/>
  <c r="E211" i="25"/>
  <c r="F211" i="25" s="1"/>
  <c r="K210" i="25"/>
  <c r="F210" i="25"/>
  <c r="F212" i="25" s="1"/>
  <c r="E210" i="25"/>
  <c r="K206" i="25"/>
  <c r="E206" i="25"/>
  <c r="F206" i="25" s="1"/>
  <c r="K205" i="25"/>
  <c r="E205" i="25"/>
  <c r="F205" i="25" s="1"/>
  <c r="K204" i="25"/>
  <c r="F204" i="25"/>
  <c r="E204" i="25"/>
  <c r="K203" i="25"/>
  <c r="E203" i="25"/>
  <c r="F203" i="25" s="1"/>
  <c r="K202" i="25"/>
  <c r="E202" i="25"/>
  <c r="F202" i="25" s="1"/>
  <c r="K196" i="25"/>
  <c r="F196" i="25"/>
  <c r="E196" i="25"/>
  <c r="K195" i="25"/>
  <c r="E195" i="25"/>
  <c r="F195" i="25" s="1"/>
  <c r="K194" i="25"/>
  <c r="E194" i="25"/>
  <c r="F194" i="25" s="1"/>
  <c r="F197" i="25" s="1"/>
  <c r="K190" i="25"/>
  <c r="F190" i="25"/>
  <c r="E190" i="25"/>
  <c r="K189" i="25"/>
  <c r="E189" i="25"/>
  <c r="F189" i="25" s="1"/>
  <c r="K188" i="25"/>
  <c r="E188" i="25"/>
  <c r="F188" i="25" s="1"/>
  <c r="K187" i="25"/>
  <c r="E187" i="25"/>
  <c r="F187" i="25" s="1"/>
  <c r="K186" i="25"/>
  <c r="F186" i="25"/>
  <c r="E186" i="25"/>
  <c r="K185" i="25"/>
  <c r="E185" i="25"/>
  <c r="F185" i="25" s="1"/>
  <c r="K184" i="25"/>
  <c r="E184" i="25"/>
  <c r="F184" i="25" s="1"/>
  <c r="F178" i="25"/>
  <c r="F177" i="25"/>
  <c r="F173" i="25"/>
  <c r="F172" i="25"/>
  <c r="F171" i="25"/>
  <c r="F170" i="25"/>
  <c r="F169" i="25"/>
  <c r="K163" i="25"/>
  <c r="K159" i="25"/>
  <c r="F159" i="25"/>
  <c r="K158" i="25"/>
  <c r="F158" i="25"/>
  <c r="K157" i="25"/>
  <c r="F157" i="25"/>
  <c r="K156" i="25"/>
  <c r="F156" i="25"/>
  <c r="K155" i="25"/>
  <c r="F155" i="25"/>
  <c r="F160" i="25" s="1"/>
  <c r="K151" i="25"/>
  <c r="F151" i="25"/>
  <c r="E151" i="25"/>
  <c r="K150" i="25"/>
  <c r="E150" i="25"/>
  <c r="F150" i="25" s="1"/>
  <c r="K149" i="25"/>
  <c r="E149" i="25"/>
  <c r="F149" i="25" s="1"/>
  <c r="K148" i="25"/>
  <c r="E148" i="25"/>
  <c r="F148" i="25" s="1"/>
  <c r="K147" i="25"/>
  <c r="F147" i="25"/>
  <c r="E147" i="25"/>
  <c r="K146" i="25"/>
  <c r="E146" i="25"/>
  <c r="F146" i="25" s="1"/>
  <c r="K145" i="25"/>
  <c r="E145" i="25"/>
  <c r="F145" i="25" s="1"/>
  <c r="K144" i="25"/>
  <c r="E144" i="25"/>
  <c r="F144" i="25" s="1"/>
  <c r="K143" i="25"/>
  <c r="F143" i="25"/>
  <c r="E143" i="25"/>
  <c r="K142" i="25"/>
  <c r="E142" i="25"/>
  <c r="F142" i="25" s="1"/>
  <c r="K141" i="25"/>
  <c r="E141" i="25"/>
  <c r="F141" i="25" s="1"/>
  <c r="K137" i="25"/>
  <c r="F137" i="25"/>
  <c r="E137" i="25"/>
  <c r="K136" i="25"/>
  <c r="E136" i="25"/>
  <c r="F136" i="25" s="1"/>
  <c r="K135" i="25"/>
  <c r="E135" i="25"/>
  <c r="F135" i="25" s="1"/>
  <c r="K134" i="25"/>
  <c r="E134" i="25"/>
  <c r="F134" i="25" s="1"/>
  <c r="K133" i="25"/>
  <c r="F133" i="25"/>
  <c r="E133" i="25"/>
  <c r="K132" i="25"/>
  <c r="E132" i="25"/>
  <c r="F132" i="25" s="1"/>
  <c r="K131" i="25"/>
  <c r="E131" i="25"/>
  <c r="F131" i="25" s="1"/>
  <c r="K130" i="25"/>
  <c r="E130" i="25"/>
  <c r="F130" i="25" s="1"/>
  <c r="K129" i="25"/>
  <c r="F129" i="25"/>
  <c r="E129" i="25"/>
  <c r="K128" i="25"/>
  <c r="E128" i="25"/>
  <c r="F128" i="25" s="1"/>
  <c r="K127" i="25"/>
  <c r="E127" i="25"/>
  <c r="F127" i="25" s="1"/>
  <c r="K126" i="25"/>
  <c r="E126" i="25"/>
  <c r="F126" i="25" s="1"/>
  <c r="K122" i="25"/>
  <c r="E122" i="25"/>
  <c r="F122" i="25" s="1"/>
  <c r="K121" i="25"/>
  <c r="F121" i="25"/>
  <c r="E121" i="25"/>
  <c r="K120" i="25"/>
  <c r="E120" i="25"/>
  <c r="F120" i="25" s="1"/>
  <c r="K119" i="25"/>
  <c r="E119" i="25"/>
  <c r="F119" i="25" s="1"/>
  <c r="K118" i="25"/>
  <c r="E118" i="25"/>
  <c r="F118" i="25" s="1"/>
  <c r="K117" i="25"/>
  <c r="F117" i="25"/>
  <c r="E117" i="25"/>
  <c r="K116" i="25"/>
  <c r="E116" i="25"/>
  <c r="F116" i="25" s="1"/>
  <c r="K115" i="25"/>
  <c r="E115" i="25"/>
  <c r="F115" i="25" s="1"/>
  <c r="K114" i="25"/>
  <c r="E114" i="25"/>
  <c r="F114" i="25" s="1"/>
  <c r="K110" i="25"/>
  <c r="E110" i="25"/>
  <c r="F110" i="25" s="1"/>
  <c r="K109" i="25"/>
  <c r="F109" i="25"/>
  <c r="E109" i="25"/>
  <c r="K108" i="25"/>
  <c r="E108" i="25"/>
  <c r="F108" i="25" s="1"/>
  <c r="K107" i="25"/>
  <c r="E107" i="25"/>
  <c r="F107" i="25" s="1"/>
  <c r="K106" i="25"/>
  <c r="E106" i="25"/>
  <c r="F106" i="25" s="1"/>
  <c r="K105" i="25"/>
  <c r="F105" i="25"/>
  <c r="E105" i="25"/>
  <c r="K104" i="25"/>
  <c r="E104" i="25"/>
  <c r="F104" i="25" s="1"/>
  <c r="K103" i="25"/>
  <c r="E103" i="25"/>
  <c r="F103" i="25" s="1"/>
  <c r="K102" i="25"/>
  <c r="E102" i="25"/>
  <c r="F102" i="25" s="1"/>
  <c r="K101" i="25"/>
  <c r="F101" i="25"/>
  <c r="E101" i="25"/>
  <c r="K100" i="25"/>
  <c r="E100" i="25"/>
  <c r="F100" i="25" s="1"/>
  <c r="K99" i="25"/>
  <c r="E99" i="25"/>
  <c r="F99" i="25" s="1"/>
  <c r="K98" i="25"/>
  <c r="E98" i="25"/>
  <c r="F98" i="25" s="1"/>
  <c r="K97" i="25"/>
  <c r="F97" i="25"/>
  <c r="E97" i="25"/>
  <c r="K96" i="25"/>
  <c r="E96" i="25"/>
  <c r="F96" i="25" s="1"/>
  <c r="K92" i="25"/>
  <c r="E92" i="25"/>
  <c r="F92" i="25" s="1"/>
  <c r="K91" i="25"/>
  <c r="E91" i="25"/>
  <c r="F91" i="25" s="1"/>
  <c r="K90" i="25"/>
  <c r="E90" i="25"/>
  <c r="F90" i="25" s="1"/>
  <c r="K89" i="25"/>
  <c r="F89" i="25"/>
  <c r="E89" i="25"/>
  <c r="K88" i="25"/>
  <c r="E88" i="25"/>
  <c r="F88" i="25" s="1"/>
  <c r="K87" i="25"/>
  <c r="E87" i="25"/>
  <c r="F87" i="25" s="1"/>
  <c r="K86" i="25"/>
  <c r="E86" i="25"/>
  <c r="F86" i="25" s="1"/>
  <c r="K85" i="25"/>
  <c r="F85" i="25"/>
  <c r="E85" i="25"/>
  <c r="K84" i="25"/>
  <c r="E84" i="25"/>
  <c r="F84" i="25" s="1"/>
  <c r="K83" i="25"/>
  <c r="E83" i="25"/>
  <c r="F83" i="25" s="1"/>
  <c r="K82" i="25"/>
  <c r="E82" i="25"/>
  <c r="F82" i="25" s="1"/>
  <c r="K81" i="25"/>
  <c r="F81" i="25"/>
  <c r="E81" i="25"/>
  <c r="K80" i="25"/>
  <c r="E80" i="25"/>
  <c r="F80" i="25" s="1"/>
  <c r="K79" i="25"/>
  <c r="E79" i="25"/>
  <c r="F79" i="25" s="1"/>
  <c r="K78" i="25"/>
  <c r="E78" i="25"/>
  <c r="F78" i="25" s="1"/>
  <c r="K77" i="25"/>
  <c r="F77" i="25"/>
  <c r="E77" i="25"/>
  <c r="K76" i="25"/>
  <c r="E76" i="25"/>
  <c r="F76" i="25" s="1"/>
  <c r="K75" i="25"/>
  <c r="E75" i="25"/>
  <c r="F75" i="25" s="1"/>
  <c r="K74" i="25"/>
  <c r="E74" i="25"/>
  <c r="F74" i="25" s="1"/>
  <c r="K73" i="25"/>
  <c r="F73" i="25"/>
  <c r="E73" i="25"/>
  <c r="K72" i="25"/>
  <c r="E72" i="25"/>
  <c r="F72" i="25" s="1"/>
  <c r="K71" i="25"/>
  <c r="E71" i="25"/>
  <c r="F71" i="25" s="1"/>
  <c r="K70" i="25"/>
  <c r="E70" i="25"/>
  <c r="F70" i="25" s="1"/>
  <c r="K69" i="25"/>
  <c r="F69" i="25"/>
  <c r="E69" i="25"/>
  <c r="K65" i="25"/>
  <c r="E65" i="25"/>
  <c r="F65" i="25" s="1"/>
  <c r="K64" i="25"/>
  <c r="E64" i="25"/>
  <c r="F64" i="25" s="1"/>
  <c r="K63" i="25"/>
  <c r="F63" i="25"/>
  <c r="E63" i="25"/>
  <c r="K62" i="25"/>
  <c r="E62" i="25"/>
  <c r="F62" i="25" s="1"/>
  <c r="K61" i="25"/>
  <c r="E61" i="25"/>
  <c r="F61" i="25" s="1"/>
  <c r="K60" i="25"/>
  <c r="E60" i="25"/>
  <c r="F60" i="25" s="1"/>
  <c r="K59" i="25"/>
  <c r="F59" i="25"/>
  <c r="E59" i="25"/>
  <c r="K58" i="25"/>
  <c r="E58" i="25"/>
  <c r="F58" i="25" s="1"/>
  <c r="K57" i="25"/>
  <c r="E57" i="25"/>
  <c r="F57" i="25" s="1"/>
  <c r="K56" i="25"/>
  <c r="E56" i="25"/>
  <c r="F56" i="25" s="1"/>
  <c r="K55" i="25"/>
  <c r="F55" i="25"/>
  <c r="E55" i="25"/>
  <c r="K54" i="25"/>
  <c r="E54" i="25"/>
  <c r="F54" i="25" s="1"/>
  <c r="K53" i="25"/>
  <c r="E53" i="25"/>
  <c r="F53" i="25" s="1"/>
  <c r="K52" i="25"/>
  <c r="E52" i="25"/>
  <c r="F52" i="25" s="1"/>
  <c r="K51" i="25"/>
  <c r="F51" i="25"/>
  <c r="E51" i="25"/>
  <c r="K49" i="25"/>
  <c r="B48" i="25"/>
  <c r="D42" i="25"/>
  <c r="H31" i="25"/>
  <c r="I29" i="25"/>
  <c r="F28" i="25"/>
  <c r="F27" i="25"/>
  <c r="F26" i="25"/>
  <c r="F25" i="25"/>
  <c r="F24" i="25"/>
  <c r="F23" i="25"/>
  <c r="F22" i="25"/>
  <c r="F21" i="25"/>
  <c r="F20" i="25"/>
  <c r="F19" i="25"/>
  <c r="F18" i="25"/>
  <c r="F17" i="25"/>
  <c r="F16" i="25"/>
  <c r="F15" i="25"/>
  <c r="F14" i="25"/>
  <c r="F13" i="25"/>
  <c r="F12" i="25"/>
  <c r="F6" i="25"/>
  <c r="F66" i="25" l="1"/>
  <c r="F93" i="25"/>
  <c r="F123" i="25"/>
  <c r="F138" i="25"/>
  <c r="F29" i="25"/>
  <c r="F30" i="25" s="1"/>
  <c r="F31" i="25" s="1"/>
  <c r="I31" i="25" s="1"/>
  <c r="F225" i="27"/>
  <c r="F111" i="25"/>
  <c r="F152" i="25"/>
  <c r="F191" i="25"/>
  <c r="F207" i="25"/>
  <c r="K211" i="24"/>
  <c r="E211" i="24"/>
  <c r="F211" i="24" s="1"/>
  <c r="K210" i="24"/>
  <c r="E210" i="24"/>
  <c r="F210" i="24" s="1"/>
  <c r="F212" i="24" s="1"/>
  <c r="K206" i="24"/>
  <c r="F206" i="24"/>
  <c r="E206" i="24"/>
  <c r="K205" i="24"/>
  <c r="E205" i="24"/>
  <c r="F205" i="24" s="1"/>
  <c r="K204" i="24"/>
  <c r="E204" i="24"/>
  <c r="F204" i="24" s="1"/>
  <c r="K203" i="24"/>
  <c r="E203" i="24"/>
  <c r="F203" i="24" s="1"/>
  <c r="K202" i="24"/>
  <c r="F202" i="24"/>
  <c r="E202" i="24"/>
  <c r="K196" i="24"/>
  <c r="E196" i="24"/>
  <c r="F196" i="24" s="1"/>
  <c r="K195" i="24"/>
  <c r="E195" i="24"/>
  <c r="F195" i="24" s="1"/>
  <c r="K194" i="24"/>
  <c r="F194" i="24"/>
  <c r="E194" i="24"/>
  <c r="K190" i="24"/>
  <c r="E190" i="24"/>
  <c r="F190" i="24" s="1"/>
  <c r="K189" i="24"/>
  <c r="E189" i="24"/>
  <c r="F189" i="24" s="1"/>
  <c r="K188" i="24"/>
  <c r="F188" i="24"/>
  <c r="E188" i="24"/>
  <c r="K187" i="24"/>
  <c r="E187" i="24"/>
  <c r="F187" i="24" s="1"/>
  <c r="K186" i="24"/>
  <c r="E186" i="24"/>
  <c r="F186" i="24" s="1"/>
  <c r="K185" i="24"/>
  <c r="E185" i="24"/>
  <c r="F185" i="24" s="1"/>
  <c r="K184" i="24"/>
  <c r="F184" i="24"/>
  <c r="E184" i="24"/>
  <c r="F178" i="24"/>
  <c r="F177" i="24"/>
  <c r="F173" i="24"/>
  <c r="F172" i="24"/>
  <c r="F171" i="24"/>
  <c r="F170" i="24"/>
  <c r="F169" i="24"/>
  <c r="K163" i="24"/>
  <c r="K159" i="24"/>
  <c r="F159" i="24"/>
  <c r="K158" i="24"/>
  <c r="F158" i="24"/>
  <c r="K157" i="24"/>
  <c r="F157" i="24"/>
  <c r="K156" i="24"/>
  <c r="F156" i="24"/>
  <c r="K155" i="24"/>
  <c r="F155" i="24"/>
  <c r="F160" i="24" s="1"/>
  <c r="K151" i="24"/>
  <c r="E151" i="24"/>
  <c r="F151" i="24" s="1"/>
  <c r="K150" i="24"/>
  <c r="E150" i="24"/>
  <c r="F150" i="24" s="1"/>
  <c r="K149" i="24"/>
  <c r="F149" i="24"/>
  <c r="E149" i="24"/>
  <c r="K148" i="24"/>
  <c r="E148" i="24"/>
  <c r="F148" i="24" s="1"/>
  <c r="K147" i="24"/>
  <c r="E147" i="24"/>
  <c r="F147" i="24" s="1"/>
  <c r="K146" i="24"/>
  <c r="E146" i="24"/>
  <c r="F146" i="24" s="1"/>
  <c r="K145" i="24"/>
  <c r="F145" i="24"/>
  <c r="E145" i="24"/>
  <c r="K144" i="24"/>
  <c r="E144" i="24"/>
  <c r="F144" i="24" s="1"/>
  <c r="K143" i="24"/>
  <c r="E143" i="24"/>
  <c r="F143" i="24" s="1"/>
  <c r="K142" i="24"/>
  <c r="E142" i="24"/>
  <c r="F142" i="24" s="1"/>
  <c r="K141" i="24"/>
  <c r="F141" i="24"/>
  <c r="E141" i="24"/>
  <c r="K137" i="24"/>
  <c r="E137" i="24"/>
  <c r="F137" i="24" s="1"/>
  <c r="K136" i="24"/>
  <c r="E136" i="24"/>
  <c r="F136" i="24" s="1"/>
  <c r="K135" i="24"/>
  <c r="F135" i="24"/>
  <c r="E135" i="24"/>
  <c r="K134" i="24"/>
  <c r="E134" i="24"/>
  <c r="F134" i="24" s="1"/>
  <c r="K133" i="24"/>
  <c r="E133" i="24"/>
  <c r="F133" i="24" s="1"/>
  <c r="K132" i="24"/>
  <c r="E132" i="24"/>
  <c r="F132" i="24" s="1"/>
  <c r="K131" i="24"/>
  <c r="F131" i="24"/>
  <c r="E131" i="24"/>
  <c r="K130" i="24"/>
  <c r="E130" i="24"/>
  <c r="F130" i="24" s="1"/>
  <c r="K129" i="24"/>
  <c r="E129" i="24"/>
  <c r="F129" i="24" s="1"/>
  <c r="K128" i="24"/>
  <c r="E128" i="24"/>
  <c r="F128" i="24" s="1"/>
  <c r="K127" i="24"/>
  <c r="F127" i="24"/>
  <c r="E127" i="24"/>
  <c r="K126" i="24"/>
  <c r="E126" i="24"/>
  <c r="F126" i="24" s="1"/>
  <c r="K122" i="24"/>
  <c r="E122" i="24"/>
  <c r="F122" i="24" s="1"/>
  <c r="K121" i="24"/>
  <c r="E121" i="24"/>
  <c r="F121" i="24" s="1"/>
  <c r="K120" i="24"/>
  <c r="E120" i="24"/>
  <c r="F120" i="24" s="1"/>
  <c r="K119" i="24"/>
  <c r="F119" i="24"/>
  <c r="E119" i="24"/>
  <c r="K118" i="24"/>
  <c r="E118" i="24"/>
  <c r="F118" i="24" s="1"/>
  <c r="K117" i="24"/>
  <c r="E117" i="24"/>
  <c r="F117" i="24" s="1"/>
  <c r="K116" i="24"/>
  <c r="E116" i="24"/>
  <c r="F116" i="24" s="1"/>
  <c r="K115" i="24"/>
  <c r="F115" i="24"/>
  <c r="E115" i="24"/>
  <c r="K114" i="24"/>
  <c r="E114" i="24"/>
  <c r="F114" i="24" s="1"/>
  <c r="K110" i="24"/>
  <c r="E110" i="24"/>
  <c r="F110" i="24" s="1"/>
  <c r="K109" i="24"/>
  <c r="E109" i="24"/>
  <c r="F109" i="24" s="1"/>
  <c r="K108" i="24"/>
  <c r="E108" i="24"/>
  <c r="F108" i="24" s="1"/>
  <c r="K107" i="24"/>
  <c r="F107" i="24"/>
  <c r="E107" i="24"/>
  <c r="K106" i="24"/>
  <c r="E106" i="24"/>
  <c r="F106" i="24" s="1"/>
  <c r="K105" i="24"/>
  <c r="E105" i="24"/>
  <c r="F105" i="24" s="1"/>
  <c r="K104" i="24"/>
  <c r="E104" i="24"/>
  <c r="F104" i="24" s="1"/>
  <c r="K103" i="24"/>
  <c r="F103" i="24"/>
  <c r="E103" i="24"/>
  <c r="K102" i="24"/>
  <c r="E102" i="24"/>
  <c r="F102" i="24" s="1"/>
  <c r="K101" i="24"/>
  <c r="E101" i="24"/>
  <c r="F101" i="24" s="1"/>
  <c r="K100" i="24"/>
  <c r="E100" i="24"/>
  <c r="F100" i="24" s="1"/>
  <c r="K99" i="24"/>
  <c r="F99" i="24"/>
  <c r="E99" i="24"/>
  <c r="K98" i="24"/>
  <c r="E98" i="24"/>
  <c r="F98" i="24" s="1"/>
  <c r="K97" i="24"/>
  <c r="E97" i="24"/>
  <c r="F97" i="24" s="1"/>
  <c r="K96" i="24"/>
  <c r="E96" i="24"/>
  <c r="F96" i="24" s="1"/>
  <c r="K92" i="24"/>
  <c r="E92" i="24"/>
  <c r="F92" i="24" s="1"/>
  <c r="K91" i="24"/>
  <c r="F91" i="24"/>
  <c r="E91" i="24"/>
  <c r="K90" i="24"/>
  <c r="E90" i="24"/>
  <c r="F90" i="24" s="1"/>
  <c r="K89" i="24"/>
  <c r="E89" i="24"/>
  <c r="F89" i="24" s="1"/>
  <c r="K88" i="24"/>
  <c r="E88" i="24"/>
  <c r="F88" i="24" s="1"/>
  <c r="K87" i="24"/>
  <c r="F87" i="24"/>
  <c r="E87" i="24"/>
  <c r="K86" i="24"/>
  <c r="E86" i="24"/>
  <c r="F86" i="24" s="1"/>
  <c r="K85" i="24"/>
  <c r="E85" i="24"/>
  <c r="F85" i="24" s="1"/>
  <c r="K84" i="24"/>
  <c r="E84" i="24"/>
  <c r="F84" i="24" s="1"/>
  <c r="K83" i="24"/>
  <c r="F83" i="24"/>
  <c r="E83" i="24"/>
  <c r="K82" i="24"/>
  <c r="E82" i="24"/>
  <c r="F82" i="24" s="1"/>
  <c r="K81" i="24"/>
  <c r="E81" i="24"/>
  <c r="F81" i="24" s="1"/>
  <c r="K80" i="24"/>
  <c r="E80" i="24"/>
  <c r="F80" i="24" s="1"/>
  <c r="K79" i="24"/>
  <c r="F79" i="24"/>
  <c r="E79" i="24"/>
  <c r="K78" i="24"/>
  <c r="E78" i="24"/>
  <c r="F78" i="24" s="1"/>
  <c r="K77" i="24"/>
  <c r="E77" i="24"/>
  <c r="F77" i="24" s="1"/>
  <c r="K76" i="24"/>
  <c r="E76" i="24"/>
  <c r="F76" i="24" s="1"/>
  <c r="K75" i="24"/>
  <c r="F75" i="24"/>
  <c r="E75" i="24"/>
  <c r="K74" i="24"/>
  <c r="E74" i="24"/>
  <c r="F74" i="24" s="1"/>
  <c r="K73" i="24"/>
  <c r="E73" i="24"/>
  <c r="F73" i="24" s="1"/>
  <c r="K72" i="24"/>
  <c r="E72" i="24"/>
  <c r="F72" i="24" s="1"/>
  <c r="K71" i="24"/>
  <c r="F71" i="24"/>
  <c r="E71" i="24"/>
  <c r="K70" i="24"/>
  <c r="E70" i="24"/>
  <c r="F70" i="24" s="1"/>
  <c r="K69" i="24"/>
  <c r="E69" i="24"/>
  <c r="F69" i="24" s="1"/>
  <c r="K65" i="24"/>
  <c r="F65" i="24"/>
  <c r="E65" i="24"/>
  <c r="K64" i="24"/>
  <c r="E64" i="24"/>
  <c r="F64" i="24" s="1"/>
  <c r="K63" i="24"/>
  <c r="E63" i="24"/>
  <c r="F63" i="24" s="1"/>
  <c r="K62" i="24"/>
  <c r="E62" i="24"/>
  <c r="F62" i="24" s="1"/>
  <c r="K61" i="24"/>
  <c r="F61" i="24"/>
  <c r="E61" i="24"/>
  <c r="K60" i="24"/>
  <c r="E60" i="24"/>
  <c r="F60" i="24" s="1"/>
  <c r="K59" i="24"/>
  <c r="E59" i="24"/>
  <c r="F59" i="24" s="1"/>
  <c r="K58" i="24"/>
  <c r="E58" i="24"/>
  <c r="F58" i="24" s="1"/>
  <c r="K57" i="24"/>
  <c r="F57" i="24"/>
  <c r="E57" i="24"/>
  <c r="K56" i="24"/>
  <c r="E56" i="24"/>
  <c r="F56" i="24" s="1"/>
  <c r="K55" i="24"/>
  <c r="E55" i="24"/>
  <c r="F55" i="24" s="1"/>
  <c r="K54" i="24"/>
  <c r="E54" i="24"/>
  <c r="F54" i="24" s="1"/>
  <c r="K53" i="24"/>
  <c r="F53" i="24"/>
  <c r="E53" i="24"/>
  <c r="K52" i="24"/>
  <c r="E52" i="24"/>
  <c r="F52" i="24" s="1"/>
  <c r="K51" i="24"/>
  <c r="K49" i="24" s="1"/>
  <c r="E51" i="24"/>
  <c r="F51" i="24" s="1"/>
  <c r="B48" i="24"/>
  <c r="D42" i="24"/>
  <c r="H31" i="24"/>
  <c r="I29" i="24"/>
  <c r="F28" i="24"/>
  <c r="F27" i="24"/>
  <c r="F26" i="24"/>
  <c r="F25" i="24"/>
  <c r="F24" i="24"/>
  <c r="F23" i="24"/>
  <c r="F22" i="24"/>
  <c r="F21" i="24"/>
  <c r="F20" i="24"/>
  <c r="F19" i="24"/>
  <c r="F18" i="24"/>
  <c r="F17" i="24"/>
  <c r="F16" i="24"/>
  <c r="F15" i="24"/>
  <c r="F14" i="24"/>
  <c r="F13" i="24"/>
  <c r="F12" i="24"/>
  <c r="F6" i="24"/>
  <c r="F66" i="24" l="1"/>
  <c r="F93" i="24"/>
  <c r="F197" i="24"/>
  <c r="F123" i="24"/>
  <c r="F138" i="24"/>
  <c r="F166" i="25"/>
  <c r="F29" i="24"/>
  <c r="F30" i="24" s="1"/>
  <c r="F31" i="24" s="1"/>
  <c r="I31" i="24" s="1"/>
  <c r="F111" i="24"/>
  <c r="F152" i="24"/>
  <c r="F191" i="24"/>
  <c r="F207" i="24"/>
  <c r="F6" i="1"/>
  <c r="K211" i="1"/>
  <c r="K210" i="1"/>
  <c r="K206" i="1"/>
  <c r="K205" i="1"/>
  <c r="K204" i="1"/>
  <c r="K203" i="1"/>
  <c r="K202" i="1"/>
  <c r="K196" i="1"/>
  <c r="K195" i="1"/>
  <c r="K194" i="1"/>
  <c r="K190" i="1"/>
  <c r="K189" i="1"/>
  <c r="K188" i="1"/>
  <c r="K187" i="1"/>
  <c r="K186" i="1"/>
  <c r="K185" i="1"/>
  <c r="K184" i="1"/>
  <c r="K163" i="1"/>
  <c r="K159" i="1"/>
  <c r="K158" i="1"/>
  <c r="K157" i="1"/>
  <c r="K156" i="1"/>
  <c r="K155" i="1"/>
  <c r="K151" i="1"/>
  <c r="K150" i="1"/>
  <c r="K149" i="1"/>
  <c r="K148" i="1"/>
  <c r="K147" i="1"/>
  <c r="K146" i="1"/>
  <c r="K145" i="1"/>
  <c r="K144" i="1"/>
  <c r="K143" i="1"/>
  <c r="K142" i="1"/>
  <c r="K141" i="1"/>
  <c r="K137" i="1"/>
  <c r="K136" i="1"/>
  <c r="K135" i="1"/>
  <c r="K134" i="1"/>
  <c r="K133" i="1"/>
  <c r="K132" i="1"/>
  <c r="K131" i="1"/>
  <c r="K130" i="1"/>
  <c r="K129" i="1"/>
  <c r="K128" i="1"/>
  <c r="K127" i="1"/>
  <c r="K126" i="1"/>
  <c r="K122" i="1"/>
  <c r="K121" i="1"/>
  <c r="K120" i="1"/>
  <c r="K119" i="1"/>
  <c r="K118" i="1"/>
  <c r="K117" i="1"/>
  <c r="K116" i="1"/>
  <c r="K115" i="1"/>
  <c r="K114" i="1"/>
  <c r="K110" i="1"/>
  <c r="K109" i="1"/>
  <c r="K108" i="1"/>
  <c r="K107" i="1"/>
  <c r="K106" i="1"/>
  <c r="K105" i="1"/>
  <c r="K104" i="1"/>
  <c r="K103" i="1"/>
  <c r="K102" i="1"/>
  <c r="K101" i="1"/>
  <c r="K100" i="1"/>
  <c r="K99" i="1"/>
  <c r="K98" i="1"/>
  <c r="K97" i="1"/>
  <c r="K96" i="1"/>
  <c r="K92" i="1"/>
  <c r="K91" i="1"/>
  <c r="K90" i="1"/>
  <c r="K89" i="1"/>
  <c r="K88" i="1"/>
  <c r="K87" i="1"/>
  <c r="K86" i="1"/>
  <c r="K85" i="1"/>
  <c r="K84" i="1"/>
  <c r="K83" i="1"/>
  <c r="K82" i="1"/>
  <c r="K81" i="1"/>
  <c r="K80" i="1"/>
  <c r="K79" i="1"/>
  <c r="K78" i="1"/>
  <c r="K77" i="1"/>
  <c r="K76" i="1"/>
  <c r="K75" i="1"/>
  <c r="K74" i="1"/>
  <c r="K73" i="1"/>
  <c r="K72" i="1"/>
  <c r="K71" i="1"/>
  <c r="K70" i="1"/>
  <c r="K69" i="1"/>
  <c r="K65" i="1"/>
  <c r="K64" i="1"/>
  <c r="K63" i="1"/>
  <c r="K62" i="1"/>
  <c r="K61" i="1"/>
  <c r="K60" i="1"/>
  <c r="K59" i="1"/>
  <c r="K58" i="1"/>
  <c r="K57" i="1"/>
  <c r="K56" i="1"/>
  <c r="K55" i="1"/>
  <c r="K54" i="1"/>
  <c r="K53" i="1"/>
  <c r="K52" i="1"/>
  <c r="K51" i="1"/>
  <c r="K49" i="1"/>
  <c r="E51" i="1"/>
  <c r="I29" i="1"/>
  <c r="H31" i="1"/>
  <c r="F211" i="1"/>
  <c r="E211" i="1"/>
  <c r="F210" i="1"/>
  <c r="F212" i="1" s="1"/>
  <c r="E210" i="1"/>
  <c r="E206" i="1"/>
  <c r="F206" i="1" s="1"/>
  <c r="E205" i="1"/>
  <c r="F205" i="1" s="1"/>
  <c r="E204" i="1"/>
  <c r="F204" i="1" s="1"/>
  <c r="E203" i="1"/>
  <c r="F203" i="1" s="1"/>
  <c r="E202" i="1"/>
  <c r="F202" i="1" s="1"/>
  <c r="E196" i="1"/>
  <c r="F196" i="1" s="1"/>
  <c r="E195" i="1"/>
  <c r="F195" i="1" s="1"/>
  <c r="E194" i="1"/>
  <c r="F194" i="1" s="1"/>
  <c r="E190" i="1"/>
  <c r="F190" i="1" s="1"/>
  <c r="E189" i="1"/>
  <c r="F189" i="1" s="1"/>
  <c r="E188" i="1"/>
  <c r="F188" i="1" s="1"/>
  <c r="E187" i="1"/>
  <c r="F187" i="1" s="1"/>
  <c r="E186" i="1"/>
  <c r="F186" i="1" s="1"/>
  <c r="E185" i="1"/>
  <c r="F185" i="1" s="1"/>
  <c r="E184" i="1"/>
  <c r="F184" i="1" s="1"/>
  <c r="F191" i="1" s="1"/>
  <c r="F178" i="1"/>
  <c r="F177" i="1"/>
  <c r="F173" i="1"/>
  <c r="F172" i="1"/>
  <c r="F171" i="1"/>
  <c r="F170" i="1"/>
  <c r="F169" i="1"/>
  <c r="F159" i="1"/>
  <c r="F158" i="1"/>
  <c r="F157" i="1"/>
  <c r="F156" i="1"/>
  <c r="F155" i="1"/>
  <c r="F160" i="1" s="1"/>
  <c r="E151" i="1"/>
  <c r="F151" i="1" s="1"/>
  <c r="E150" i="1"/>
  <c r="F150" i="1" s="1"/>
  <c r="E149" i="1"/>
  <c r="F149" i="1" s="1"/>
  <c r="E148" i="1"/>
  <c r="F148" i="1" s="1"/>
  <c r="E147" i="1"/>
  <c r="F147" i="1" s="1"/>
  <c r="E146" i="1"/>
  <c r="F146" i="1" s="1"/>
  <c r="E145" i="1"/>
  <c r="F145" i="1" s="1"/>
  <c r="E144" i="1"/>
  <c r="F144" i="1" s="1"/>
  <c r="E143" i="1"/>
  <c r="F143" i="1" s="1"/>
  <c r="E142" i="1"/>
  <c r="F142" i="1" s="1"/>
  <c r="E141" i="1"/>
  <c r="F141" i="1" s="1"/>
  <c r="E137" i="1"/>
  <c r="F137"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2" i="1"/>
  <c r="F122" i="1" s="1"/>
  <c r="E121" i="1"/>
  <c r="F121" i="1" s="1"/>
  <c r="E120" i="1"/>
  <c r="F120" i="1" s="1"/>
  <c r="E119" i="1"/>
  <c r="F119" i="1" s="1"/>
  <c r="E118" i="1"/>
  <c r="F118" i="1" s="1"/>
  <c r="E117" i="1"/>
  <c r="F117" i="1" s="1"/>
  <c r="E116" i="1"/>
  <c r="F116" i="1" s="1"/>
  <c r="E115" i="1"/>
  <c r="F115" i="1" s="1"/>
  <c r="E114" i="1"/>
  <c r="F114" i="1" s="1"/>
  <c r="E110" i="1"/>
  <c r="F110" i="1" s="1"/>
  <c r="E109" i="1"/>
  <c r="F109" i="1" s="1"/>
  <c r="E108" i="1"/>
  <c r="F108" i="1" s="1"/>
  <c r="E107" i="1"/>
  <c r="F107" i="1" s="1"/>
  <c r="E106" i="1"/>
  <c r="F106" i="1" s="1"/>
  <c r="E105" i="1"/>
  <c r="F105" i="1" s="1"/>
  <c r="E104" i="1"/>
  <c r="F104" i="1" s="1"/>
  <c r="E103" i="1"/>
  <c r="F103" i="1" s="1"/>
  <c r="E102" i="1"/>
  <c r="F102" i="1" s="1"/>
  <c r="E101" i="1"/>
  <c r="F101" i="1" s="1"/>
  <c r="E100" i="1"/>
  <c r="F100" i="1" s="1"/>
  <c r="E99" i="1"/>
  <c r="F99" i="1" s="1"/>
  <c r="E98" i="1"/>
  <c r="F98" i="1" s="1"/>
  <c r="E97" i="1"/>
  <c r="F97" i="1" s="1"/>
  <c r="E96" i="1"/>
  <c r="F96"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E78" i="1"/>
  <c r="F78" i="1" s="1"/>
  <c r="E77" i="1"/>
  <c r="F77" i="1" s="1"/>
  <c r="E76" i="1"/>
  <c r="F76" i="1" s="1"/>
  <c r="E75" i="1"/>
  <c r="F75" i="1" s="1"/>
  <c r="E74" i="1"/>
  <c r="F74" i="1" s="1"/>
  <c r="E73" i="1"/>
  <c r="F73" i="1" s="1"/>
  <c r="E72" i="1"/>
  <c r="F72" i="1" s="1"/>
  <c r="E71" i="1"/>
  <c r="F71" i="1" s="1"/>
  <c r="E70" i="1"/>
  <c r="F70" i="1" s="1"/>
  <c r="E69" i="1"/>
  <c r="F69" i="1" s="1"/>
  <c r="E65" i="1"/>
  <c r="F65" i="1" s="1"/>
  <c r="E64" i="1"/>
  <c r="F64" i="1" s="1"/>
  <c r="E63" i="1"/>
  <c r="F63" i="1" s="1"/>
  <c r="E62" i="1"/>
  <c r="F62" i="1" s="1"/>
  <c r="E61" i="1"/>
  <c r="F61" i="1" s="1"/>
  <c r="E60" i="1"/>
  <c r="F60" i="1" s="1"/>
  <c r="E59" i="1"/>
  <c r="F59" i="1" s="1"/>
  <c r="E58" i="1"/>
  <c r="F58" i="1" s="1"/>
  <c r="E57" i="1"/>
  <c r="F57" i="1" s="1"/>
  <c r="E56" i="1"/>
  <c r="F56" i="1" s="1"/>
  <c r="E55" i="1"/>
  <c r="F55" i="1" s="1"/>
  <c r="E54" i="1"/>
  <c r="F54" i="1" s="1"/>
  <c r="E53" i="1"/>
  <c r="F53" i="1" s="1"/>
  <c r="E52" i="1"/>
  <c r="F52" i="1" s="1"/>
  <c r="F51" i="1"/>
  <c r="F66" i="1" s="1"/>
  <c r="B48" i="1"/>
  <c r="D42" i="1"/>
  <c r="F28" i="1"/>
  <c r="F27" i="1"/>
  <c r="F26" i="1"/>
  <c r="F25" i="1"/>
  <c r="F24" i="1"/>
  <c r="F23" i="1"/>
  <c r="F22" i="1"/>
  <c r="F21" i="1"/>
  <c r="F20" i="1"/>
  <c r="F19" i="1"/>
  <c r="F18" i="1"/>
  <c r="F17" i="1"/>
  <c r="F16" i="1"/>
  <c r="F15" i="1"/>
  <c r="F14" i="1"/>
  <c r="F13" i="1"/>
  <c r="F12" i="1"/>
  <c r="F29" i="1" s="1"/>
  <c r="F30" i="1" s="1"/>
  <c r="F31" i="1" s="1"/>
  <c r="I31" i="1" s="1"/>
  <c r="F166" i="24" l="1"/>
  <c r="F138" i="1"/>
  <c r="F152" i="1"/>
  <c r="F123" i="1"/>
  <c r="F93" i="1"/>
  <c r="F197" i="1"/>
  <c r="F111" i="1"/>
  <c r="F207" i="1"/>
  <c r="C3" i="2"/>
  <c r="F166" i="1" l="1"/>
</calcChain>
</file>

<file path=xl/comments1.xml><?xml version="1.0" encoding="utf-8"?>
<comments xmlns="http://schemas.openxmlformats.org/spreadsheetml/2006/main">
  <authors>
    <author>Programmers</author>
  </authors>
  <commentList>
    <comment ref="F12" authorId="0" shapeId="0">
      <text>
        <r>
          <rPr>
            <b/>
            <sz val="9"/>
            <color indexed="81"/>
            <rFont val="Tahoma"/>
            <family val="2"/>
          </rPr>
          <t>MAY FORMULA!</t>
        </r>
      </text>
    </comment>
    <comment ref="H29" authorId="0" shapeId="0">
      <text>
        <r>
          <rPr>
            <b/>
            <sz val="9"/>
            <color indexed="81"/>
            <rFont val="Tahoma"/>
            <family val="2"/>
          </rPr>
          <t>Programmers:</t>
        </r>
        <r>
          <rPr>
            <sz val="9"/>
            <color indexed="81"/>
            <rFont val="Tahoma"/>
            <family val="2"/>
          </rPr>
          <t xml:space="preserve">
Don’t galaw galaw</t>
        </r>
      </text>
    </comment>
    <comment ref="I31" authorId="0" shapeId="0">
      <text>
        <r>
          <rPr>
            <b/>
            <sz val="9"/>
            <color indexed="81"/>
            <rFont val="Tahoma"/>
            <family val="2"/>
          </rPr>
          <t>Programmers:</t>
        </r>
        <r>
          <rPr>
            <sz val="9"/>
            <color indexed="81"/>
            <rFont val="Tahoma"/>
            <family val="2"/>
          </rPr>
          <t xml:space="preserve">
Naka formula do not change!</t>
        </r>
      </text>
    </comment>
  </commentList>
</comments>
</file>

<file path=xl/comments2.xml><?xml version="1.0" encoding="utf-8"?>
<comments xmlns="http://schemas.openxmlformats.org/spreadsheetml/2006/main">
  <authors>
    <author>Programmers</author>
  </authors>
  <commentList>
    <comment ref="F12" authorId="0" shapeId="0">
      <text>
        <r>
          <rPr>
            <b/>
            <sz val="9"/>
            <color indexed="81"/>
            <rFont val="Tahoma"/>
            <family val="2"/>
          </rPr>
          <t>MAY FORMULA!</t>
        </r>
      </text>
    </comment>
    <comment ref="H29" authorId="0" shapeId="0">
      <text>
        <r>
          <rPr>
            <b/>
            <sz val="9"/>
            <color indexed="81"/>
            <rFont val="Tahoma"/>
            <family val="2"/>
          </rPr>
          <t>Programmers:</t>
        </r>
        <r>
          <rPr>
            <sz val="9"/>
            <color indexed="81"/>
            <rFont val="Tahoma"/>
            <family val="2"/>
          </rPr>
          <t xml:space="preserve">
Don’t galaw galaw</t>
        </r>
      </text>
    </comment>
    <comment ref="I31" authorId="0" shapeId="0">
      <text>
        <r>
          <rPr>
            <b/>
            <sz val="9"/>
            <color indexed="81"/>
            <rFont val="Tahoma"/>
            <family val="2"/>
          </rPr>
          <t>Programmers:</t>
        </r>
        <r>
          <rPr>
            <sz val="9"/>
            <color indexed="81"/>
            <rFont val="Tahoma"/>
            <family val="2"/>
          </rPr>
          <t xml:space="preserve">
Naka formula do not change!</t>
        </r>
      </text>
    </comment>
  </commentList>
</comments>
</file>

<file path=xl/comments3.xml><?xml version="1.0" encoding="utf-8"?>
<comments xmlns="http://schemas.openxmlformats.org/spreadsheetml/2006/main">
  <authors>
    <author>Programmers</author>
  </authors>
  <commentList>
    <comment ref="F12" authorId="0" shapeId="0">
      <text>
        <r>
          <rPr>
            <b/>
            <sz val="9"/>
            <color indexed="81"/>
            <rFont val="Tahoma"/>
            <family val="2"/>
          </rPr>
          <t>MAY FORMULA!</t>
        </r>
      </text>
    </comment>
    <comment ref="H29" authorId="0" shapeId="0">
      <text>
        <r>
          <rPr>
            <b/>
            <sz val="9"/>
            <color indexed="81"/>
            <rFont val="Tahoma"/>
            <family val="2"/>
          </rPr>
          <t>Programmers:</t>
        </r>
        <r>
          <rPr>
            <sz val="9"/>
            <color indexed="81"/>
            <rFont val="Tahoma"/>
            <family val="2"/>
          </rPr>
          <t xml:space="preserve">
Don’t galaw galaw</t>
        </r>
      </text>
    </comment>
    <comment ref="I31" authorId="0" shapeId="0">
      <text>
        <r>
          <rPr>
            <b/>
            <sz val="9"/>
            <color indexed="81"/>
            <rFont val="Tahoma"/>
            <family val="2"/>
          </rPr>
          <t>Programmers:</t>
        </r>
        <r>
          <rPr>
            <sz val="9"/>
            <color indexed="81"/>
            <rFont val="Tahoma"/>
            <family val="2"/>
          </rPr>
          <t xml:space="preserve">
Naka formula do not change!</t>
        </r>
      </text>
    </comment>
  </commentList>
</comments>
</file>

<file path=xl/comments4.xml><?xml version="1.0" encoding="utf-8"?>
<comments xmlns="http://schemas.openxmlformats.org/spreadsheetml/2006/main">
  <authors>
    <author>Programmers</author>
  </authors>
  <commentList>
    <comment ref="F12" authorId="0" shapeId="0">
      <text>
        <r>
          <rPr>
            <b/>
            <sz val="9"/>
            <color indexed="81"/>
            <rFont val="Tahoma"/>
            <family val="2"/>
          </rPr>
          <t>MAY FORMULA!</t>
        </r>
      </text>
    </comment>
    <comment ref="H29" authorId="0" shapeId="0">
      <text>
        <r>
          <rPr>
            <b/>
            <sz val="9"/>
            <color indexed="81"/>
            <rFont val="Tahoma"/>
            <family val="2"/>
          </rPr>
          <t>Programmers:</t>
        </r>
        <r>
          <rPr>
            <sz val="9"/>
            <color indexed="81"/>
            <rFont val="Tahoma"/>
            <family val="2"/>
          </rPr>
          <t xml:space="preserve">
Don’t galaw galaw</t>
        </r>
      </text>
    </comment>
    <comment ref="I31" authorId="0" shapeId="0">
      <text>
        <r>
          <rPr>
            <b/>
            <sz val="9"/>
            <color indexed="81"/>
            <rFont val="Tahoma"/>
            <family val="2"/>
          </rPr>
          <t>Programmers:</t>
        </r>
        <r>
          <rPr>
            <sz val="9"/>
            <color indexed="81"/>
            <rFont val="Tahoma"/>
            <family val="2"/>
          </rPr>
          <t xml:space="preserve">
Naka formula do not change!</t>
        </r>
      </text>
    </comment>
  </commentList>
</comments>
</file>

<file path=xl/comments5.xml><?xml version="1.0" encoding="utf-8"?>
<comments xmlns="http://schemas.openxmlformats.org/spreadsheetml/2006/main">
  <authors>
    <author>Programmers</author>
  </authors>
  <commentList>
    <comment ref="F12" authorId="0" shapeId="0">
      <text>
        <r>
          <rPr>
            <b/>
            <sz val="9"/>
            <color indexed="81"/>
            <rFont val="Tahoma"/>
            <family val="2"/>
          </rPr>
          <t>MAY FORMULA!</t>
        </r>
      </text>
    </comment>
    <comment ref="H29" authorId="0" shapeId="0">
      <text>
        <r>
          <rPr>
            <b/>
            <sz val="9"/>
            <color indexed="81"/>
            <rFont val="Tahoma"/>
            <family val="2"/>
          </rPr>
          <t>Programmers:</t>
        </r>
        <r>
          <rPr>
            <sz val="9"/>
            <color indexed="81"/>
            <rFont val="Tahoma"/>
            <family val="2"/>
          </rPr>
          <t xml:space="preserve">
Don’t galaw galaw</t>
        </r>
      </text>
    </comment>
    <comment ref="I31" authorId="0" shapeId="0">
      <text>
        <r>
          <rPr>
            <b/>
            <sz val="9"/>
            <color indexed="81"/>
            <rFont val="Tahoma"/>
            <family val="2"/>
          </rPr>
          <t>Programmers:</t>
        </r>
        <r>
          <rPr>
            <sz val="9"/>
            <color indexed="81"/>
            <rFont val="Tahoma"/>
            <family val="2"/>
          </rPr>
          <t xml:space="preserve">
Naka formula do not change!</t>
        </r>
      </text>
    </comment>
  </commentList>
</comments>
</file>

<file path=xl/sharedStrings.xml><?xml version="1.0" encoding="utf-8"?>
<sst xmlns="http://schemas.openxmlformats.org/spreadsheetml/2006/main" count="2853" uniqueCount="560">
  <si>
    <t>QUANTITY</t>
  </si>
  <si>
    <t>DESCRIPTION</t>
  </si>
  <si>
    <t>UNIT PRICE</t>
  </si>
  <si>
    <t>AMOUNT</t>
  </si>
  <si>
    <t xml:space="preserve"> </t>
  </si>
  <si>
    <t>Dashboard</t>
  </si>
  <si>
    <t>Trisphere Solutions Inc.</t>
  </si>
  <si>
    <t>OTHERS</t>
  </si>
  <si>
    <t>Phone: (632) 801-9886</t>
  </si>
  <si>
    <t>Estrellita Bldg. II Tierra Nueva Comm., Alabang-Zapote Road, Alabang, Muntinlupa City 1770, Metro Manila, Philippines</t>
  </si>
  <si>
    <t>Attention:</t>
  </si>
  <si>
    <t>UNIT</t>
  </si>
  <si>
    <t>Log Message</t>
  </si>
  <si>
    <t>Date</t>
  </si>
  <si>
    <t>Date:</t>
  </si>
  <si>
    <t>Date Created</t>
  </si>
  <si>
    <t>Prepared By</t>
  </si>
  <si>
    <t>Created Quote No.: Q-201</t>
  </si>
  <si>
    <t>Successfully created Folder for Q-201</t>
  </si>
  <si>
    <t>Printed Quotation No. Q-201</t>
  </si>
  <si>
    <t>Quote No. Q-201 successfully sent to Dashboard</t>
  </si>
  <si>
    <t>Created Quote No.: QN-023</t>
  </si>
  <si>
    <t>Successfully created Folder for QN-023</t>
  </si>
  <si>
    <t>Printed Quotation No. QN-023</t>
  </si>
  <si>
    <t>Quote No. QN-023 successfully sent to Dashboard</t>
  </si>
  <si>
    <t>Created Quote No.: QN-024</t>
  </si>
  <si>
    <t>Successfully created Folder for QN-024</t>
  </si>
  <si>
    <t>Printed Quotation No. QN-024</t>
  </si>
  <si>
    <t>Quote No. QN-024 successfully sent to Dashboard</t>
  </si>
  <si>
    <t>Created Quote No.: QN-025</t>
  </si>
  <si>
    <t>Successfully created Folder for QN-025</t>
  </si>
  <si>
    <t>Printed Quotation No. QN-025</t>
  </si>
  <si>
    <t>Quote No. QN-025 successfully sent to Dashboard</t>
  </si>
  <si>
    <t>Created Quote No.: QN-024-1</t>
  </si>
  <si>
    <t>Successfully created Folder for QN-024-1</t>
  </si>
  <si>
    <t>Printed Quotation No. QN-024-1</t>
  </si>
  <si>
    <t>Quote No. QN-024-1 successfully sent to Dashboard</t>
  </si>
  <si>
    <t>Created Quote No.: QN-025-1</t>
  </si>
  <si>
    <t>Successfully created Folder for QN-025-1</t>
  </si>
  <si>
    <t>Printed Quotation No. QN-025-1</t>
  </si>
  <si>
    <t>Quote No. QN-025-1 successfully sent to Dashboard</t>
  </si>
  <si>
    <t>NET PRICE</t>
  </si>
  <si>
    <t>Created Quote No.: QN-026</t>
  </si>
  <si>
    <t>Successfully created Folder for QN-026</t>
  </si>
  <si>
    <t>Printed Quotation No. QN-026</t>
  </si>
  <si>
    <t>Quote No. QN-026 successfully sent to Dashboard</t>
  </si>
  <si>
    <t>Created Quote No.: QN-027</t>
  </si>
  <si>
    <t>Successfully created Folder for QN-027</t>
  </si>
  <si>
    <t>Printed Quotation No. QN-027</t>
  </si>
  <si>
    <t>Quote No. QN-027 successfully sent to Dashboard</t>
  </si>
  <si>
    <t>Created Quote No.: QN-028</t>
  </si>
  <si>
    <t>Successfully created Folder for QN-028</t>
  </si>
  <si>
    <t>Printed Quotation No. QN-028</t>
  </si>
  <si>
    <t>Quote No. QN-028 successfully sent to Dashboard</t>
  </si>
  <si>
    <t>Created Quote No.: QN-028-1</t>
  </si>
  <si>
    <t>Successfully created Folder for QN-028-1</t>
  </si>
  <si>
    <t>Printed Quotation No. QN-028-1</t>
  </si>
  <si>
    <t>Quote No. QN-028-1 successfully sent to Dashboard</t>
  </si>
  <si>
    <t>Created Quote No.: QN-028-2</t>
  </si>
  <si>
    <t>Successfully created Folder for QN-028-2</t>
  </si>
  <si>
    <t>Printed Quotation No. QN-028-2</t>
  </si>
  <si>
    <t>Quote No. QN-028-2 successfully sent to Dashboard</t>
  </si>
  <si>
    <t>Created Quote No.: QN-029</t>
  </si>
  <si>
    <t>Successfully created Folder for QN-029</t>
  </si>
  <si>
    <t>Printed Quotation No. QN-029</t>
  </si>
  <si>
    <t>Quote No. QN-029 successfully sent to Dashboard</t>
  </si>
  <si>
    <t>Created Quote No.: QN-030</t>
  </si>
  <si>
    <t>Successfully created Folder for QN-030</t>
  </si>
  <si>
    <t>Printed Quotation No. QN-030</t>
  </si>
  <si>
    <t>Quote No. QN-030 successfully sent to Dashboard</t>
  </si>
  <si>
    <t>Created Quote No.: QN-031</t>
  </si>
  <si>
    <t>Successfully created Folder for QN-031</t>
  </si>
  <si>
    <t>Created Quote No.: QN-023-1</t>
  </si>
  <si>
    <t>Successfully created Folder for QN-023-1</t>
  </si>
  <si>
    <t>Printed Quotation No. QN-023-1</t>
  </si>
  <si>
    <t>Quote No. QN-023-1 successfully sent to Dashboard</t>
  </si>
  <si>
    <t>Quote Series Error! Name QN-030 already taken or folder existing</t>
  </si>
  <si>
    <t>Printed Quotation No. QN-031</t>
  </si>
  <si>
    <t>Quote No. QN-031 successfully sent to Dashboard</t>
  </si>
  <si>
    <t>Created Quote No.: QN-032</t>
  </si>
  <si>
    <t>Successfully created Folder for QN-032</t>
  </si>
  <si>
    <t>Printed Quotation No. QN-032</t>
  </si>
  <si>
    <t>Quote No. QN-032 successfully sent to Dashboard</t>
  </si>
  <si>
    <t>Created Quote No.: QN-033</t>
  </si>
  <si>
    <t>Successfully created Folder for QN-033</t>
  </si>
  <si>
    <t>Printed Quotation No. QN-033</t>
  </si>
  <si>
    <t>Quote No. QN-033 successfully sent to Dashboard</t>
  </si>
  <si>
    <t>Created Quote No.: QN-034</t>
  </si>
  <si>
    <t>Successfully created Folder for QN-034</t>
  </si>
  <si>
    <t>Created Quote No.: QN-030-1</t>
  </si>
  <si>
    <t>Successfully created Folder for QN-030-1</t>
  </si>
  <si>
    <t>Printed Quotation No. QN-030-1</t>
  </si>
  <si>
    <t>Quote No. QN-030-1 successfully sent to Dashboard</t>
  </si>
  <si>
    <t>Created Quote No.: QUOTE10009</t>
  </si>
  <si>
    <t>Quote Series Error! Name QUOTE10009 already taken or folder existing</t>
  </si>
  <si>
    <t>Successfully created Folder for QUOTE10009</t>
  </si>
  <si>
    <t>Printed Quotation No. QUOTE10009</t>
  </si>
  <si>
    <t>Quote No. QUOTE10009 successfully sent to Dashboard</t>
  </si>
  <si>
    <t>Printed Quotation No. QN-034</t>
  </si>
  <si>
    <t>Quote No. QN-034 successfully sent to Dashboard</t>
  </si>
  <si>
    <t>Created Quote No.: QN-035</t>
  </si>
  <si>
    <t>Successfully created Folder for QN-035</t>
  </si>
  <si>
    <t>Printed Quotation No. QN-035</t>
  </si>
  <si>
    <t>Quote No. QN-035 successfully sent to Dashboard</t>
  </si>
  <si>
    <t>Created Quote No.: QN-036</t>
  </si>
  <si>
    <t>Successfully created Folder for QN-036</t>
  </si>
  <si>
    <t>Printed Quotation No. QN-036</t>
  </si>
  <si>
    <t>Quote No. QN-036 successfully sent to Dashboard</t>
  </si>
  <si>
    <t>Created Quote No.: QN-037</t>
  </si>
  <si>
    <t>Successfully created Folder for QN-037</t>
  </si>
  <si>
    <t>Printed Quotation No. QN-037</t>
  </si>
  <si>
    <t>Quote No. QN-037 successfully sent to Dashboard</t>
  </si>
  <si>
    <t>Created Quote No.: QN-038</t>
  </si>
  <si>
    <t>Successfully created Folder for QN-038</t>
  </si>
  <si>
    <t>Printed Quotation No. QN-038</t>
  </si>
  <si>
    <t>Quote No. QN-038 successfully sent to Dashboard</t>
  </si>
  <si>
    <t>Created Quote No.: QN-039</t>
  </si>
  <si>
    <t>Successfully created Folder for QN-039</t>
  </si>
  <si>
    <t>Printed Quotation No. QN-039</t>
  </si>
  <si>
    <t>Quote No. QN-039 successfully sent to Dashboard</t>
  </si>
  <si>
    <t>Created Quote No.: QN-040</t>
  </si>
  <si>
    <t>Successfully created Folder for QN-040</t>
  </si>
  <si>
    <t>Printed Quotation No. QN-040</t>
  </si>
  <si>
    <t>Quote No. QN-040 successfully sent to Dashboard</t>
  </si>
  <si>
    <t>Created Quote No.: QN-041</t>
  </si>
  <si>
    <t>Successfully created Folder for QN-041</t>
  </si>
  <si>
    <t>Printed Quotation No. QN-041</t>
  </si>
  <si>
    <t>Quote No. QN-041 successfully sent to Dashboard</t>
  </si>
  <si>
    <t>Created Quote No.: QN-042</t>
  </si>
  <si>
    <t>Successfully created Folder for QN-042</t>
  </si>
  <si>
    <t>Printed Quotation No. QN-042</t>
  </si>
  <si>
    <t>Quote No. QN-042 successfully sent to Dashboard</t>
  </si>
  <si>
    <t>Created Quote No.: QN-043</t>
  </si>
  <si>
    <t>Successfully created Folder for QN-043</t>
  </si>
  <si>
    <t>Quote Series Error! Name QN-043 already taken or folder existing</t>
  </si>
  <si>
    <t>Created Quote No.: 19-001</t>
  </si>
  <si>
    <t>Successfully created Folder for 19-001</t>
  </si>
  <si>
    <t>Quote No. 19-001 successfully sent to Dashboard</t>
  </si>
  <si>
    <t>Quote Series Error! Name 19-001 already taken or folder existing</t>
  </si>
  <si>
    <t>Printed Quotation No. 19-001</t>
  </si>
  <si>
    <t>Created Quote No.: 19-002</t>
  </si>
  <si>
    <t>Successfully created Folder for 19-002</t>
  </si>
  <si>
    <t>Quote No. 19-002 successfully sent to Dashboard</t>
  </si>
  <si>
    <t>Created Quote No.: 19-003</t>
  </si>
  <si>
    <t>Successfully created Folder for 19-003</t>
  </si>
  <si>
    <t>Quote No. 19-003 successfully sent to Dashboard</t>
  </si>
  <si>
    <t>Created Quote No.: 19-004</t>
  </si>
  <si>
    <t>Successfully created Folder for 19-004</t>
  </si>
  <si>
    <t>Quote No. 19-004 successfully sent to Dashboard</t>
  </si>
  <si>
    <t>Created Quote No.: 19-005</t>
  </si>
  <si>
    <t>Successfully created Folder for 19-005</t>
  </si>
  <si>
    <t>Quote No. 19-005 successfully sent to Dashboard</t>
  </si>
  <si>
    <t>Norita S. Magsadia</t>
  </si>
  <si>
    <t>Vice President</t>
  </si>
  <si>
    <t>DISCOUNT %</t>
  </si>
  <si>
    <t>Amount</t>
  </si>
  <si>
    <t>Product Overview</t>
  </si>
  <si>
    <t>Contact Name</t>
  </si>
  <si>
    <t>Created PO No.: PO19-001</t>
  </si>
  <si>
    <t>Successfully created Folder for PO19-001</t>
  </si>
  <si>
    <t>PO No. PO19-001 successfully sent to Dashboard</t>
  </si>
  <si>
    <t>Sheet will locked for editing!!!!</t>
  </si>
  <si>
    <t>PO Series Error! Name PO19-001 already taken or folder existing</t>
  </si>
  <si>
    <t>PO Series Error! Name PO19-002 already taken or folder existing</t>
  </si>
  <si>
    <t>Created PO No.: PO19-002</t>
  </si>
  <si>
    <t>Successfully created Folder for PO19-002</t>
  </si>
  <si>
    <t>Created PO No.: PO19001</t>
  </si>
  <si>
    <t>Successfully created Folder for PO19001</t>
  </si>
  <si>
    <t>PO No. PO19001 successfully sent to Dashboard</t>
  </si>
  <si>
    <t>Revised PO No.: Template (2)1</t>
  </si>
  <si>
    <t>Successfully created Folder for Template (2)1</t>
  </si>
  <si>
    <t>PO Series Error! Name PO19001 already taken or folder existing</t>
  </si>
  <si>
    <t xml:space="preserve">Go to PO: </t>
  </si>
  <si>
    <t>Error creating: PO190011</t>
  </si>
  <si>
    <t>Revised PO No.: PO190011</t>
  </si>
  <si>
    <t>Successfully created Folder for PO190011</t>
  </si>
  <si>
    <t>Collect All PO Data Done</t>
  </si>
  <si>
    <t>PO No. PO19001 successfully saved</t>
  </si>
  <si>
    <t>Created PO No.: PO19002</t>
  </si>
  <si>
    <t>Successfully created Folder for PO19002</t>
  </si>
  <si>
    <t>PO No. PO19002 successfully saved</t>
  </si>
  <si>
    <t>PO No. PO190011 successfully saved</t>
  </si>
  <si>
    <t>Revised PO No.: PO1900111</t>
  </si>
  <si>
    <t>Successfully created Folder for PO1900111</t>
  </si>
  <si>
    <t>PO No. PO1900111 successfully saved</t>
  </si>
  <si>
    <t>TSI QUOTATION TEMPLATER V2</t>
  </si>
  <si>
    <t>Q. Number</t>
  </si>
  <si>
    <t>Client Information</t>
  </si>
  <si>
    <t>Company Name</t>
  </si>
  <si>
    <t>Phone</t>
  </si>
  <si>
    <t>Q. Validity</t>
  </si>
  <si>
    <t>Company Name:</t>
  </si>
  <si>
    <t>Quotation No.:</t>
  </si>
  <si>
    <t>Phone:</t>
  </si>
  <si>
    <t xml:space="preserve">Quotation Valid Till: </t>
  </si>
  <si>
    <t>Address:</t>
  </si>
  <si>
    <t>Thru:</t>
  </si>
  <si>
    <t>Terms and Conditions</t>
  </si>
  <si>
    <t>Payment Terms:</t>
  </si>
  <si>
    <t>50% Down Payment</t>
  </si>
  <si>
    <t>20% Upon Delivery</t>
  </si>
  <si>
    <t>20% After Installation</t>
  </si>
  <si>
    <t>10% Retention (60 days upon turn-over)</t>
  </si>
  <si>
    <t>Delivery Lead Time:</t>
  </si>
  <si>
    <t>60 Days</t>
  </si>
  <si>
    <t>Warranty:</t>
  </si>
  <si>
    <t>2 Years warranty period</t>
  </si>
  <si>
    <t>Lifetime service support, FREE quarterly check-up</t>
  </si>
  <si>
    <t>Conforme:</t>
  </si>
  <si>
    <t>MB Molino</t>
  </si>
  <si>
    <t xml:space="preserve">Parking System GP4P VARIANT  </t>
  </si>
  <si>
    <t>1 x server, 1x work station/POS</t>
  </si>
  <si>
    <t>UNMANNED ENTRANCE (ticket dispenser, proximity card reader and RFID reader) SAMPLE ONLY</t>
  </si>
  <si>
    <t>QTY</t>
  </si>
  <si>
    <t>TOTAL PRICE</t>
  </si>
  <si>
    <t>GP4U Cu</t>
  </si>
  <si>
    <t>Universal control unit</t>
  </si>
  <si>
    <t xml:space="preserve">GP4T </t>
  </si>
  <si>
    <t>GP4T Variant Parking System Basic Terminal
Case: steel metal sheet – 2 mm,  fibreglass 4 mm
Finish: zinc coated, powder coated 
Power supply: 230 V/6A
Control unit: GP4 Cu LAN
Communication: TCP/IP
Heating and ventilation with bimethal control
Input for vehicle detector</t>
  </si>
  <si>
    <t>GP4T + Dg</t>
  </si>
  <si>
    <t>Graphic colour display for GP4T terminal
Substitution of alphanumeric display LCD 2x20 by larger colour graphic display  320 x 240 (QVGA) 5,7“, illustrative video guide, installation material incl.</t>
  </si>
  <si>
    <t>GP4T + BpRO</t>
  </si>
  <si>
    <t xml:space="preserve">Completing of the entry terminal GP4T with the bar code printer  </t>
  </si>
  <si>
    <t>GP4T + BpFt</t>
  </si>
  <si>
    <t>Completing of the entry terminal GP4T with the fan-fold bar code printer
Thermal printer of bar code tickets incl. control board, push button, paper holder and other installation material</t>
  </si>
  <si>
    <t>GPXIv OEM</t>
  </si>
  <si>
    <t>Intercom via IP interface designed for installation into GP4T</t>
  </si>
  <si>
    <t>GP4T + Pr</t>
  </si>
  <si>
    <t xml:space="preserve">Contactless card reader </t>
  </si>
  <si>
    <t>CAM LAN</t>
  </si>
  <si>
    <t>Network Camera for Image capture</t>
  </si>
  <si>
    <t>CAM Case</t>
  </si>
  <si>
    <t>Camera enclosure, heating vent. Included</t>
  </si>
  <si>
    <t>GPX Iv 12V/1A</t>
  </si>
  <si>
    <t>Power supply for network camera</t>
  </si>
  <si>
    <t>CAM Zoom 2.5¬10</t>
  </si>
  <si>
    <t xml:space="preserve">Wide angle zoom lens 2.5¬10 range </t>
  </si>
  <si>
    <t>NEDAP</t>
  </si>
  <si>
    <t>uPASS Reach long range reader</t>
  </si>
  <si>
    <t>NEDAP mount</t>
  </si>
  <si>
    <t>Adjustable mounting set for uPASS Reach reader</t>
  </si>
  <si>
    <t>GP4T + RPHID</t>
  </si>
  <si>
    <t>iclass Contactless card reader interface GP4U</t>
  </si>
  <si>
    <t>GP4T + Wieg</t>
  </si>
  <si>
    <t>converter for connection of external card reader wiegand interface</t>
  </si>
  <si>
    <t>TOTAL</t>
  </si>
  <si>
    <t>UNMANNED EXIT (ticket reader, proximity card reader and RFID reader) - SAMPLE ONLY</t>
  </si>
  <si>
    <t>GPK</t>
  </si>
  <si>
    <t>PC Station - Cash Register (POS – Point of Sale) 
PC GreenPro without a monitor,  configured for the purpose of parking fee collection, management and administration of parking systems.</t>
  </si>
  <si>
    <t>UPS 600</t>
  </si>
  <si>
    <t xml:space="preserve">Back-up power supply
For installation with the server, the manual pay station, the back-up server of the parking system </t>
  </si>
  <si>
    <t>GPX LCD Touch</t>
  </si>
  <si>
    <t>Touch Screen 17"</t>
  </si>
  <si>
    <t>GPX Cd</t>
  </si>
  <si>
    <t>Cash Drawer</t>
  </si>
  <si>
    <t>GPX Pr TMT</t>
  </si>
  <si>
    <t>Receipt thermo printer EPSON /TMT/, paper to 80 g</t>
  </si>
  <si>
    <t>GPX Di</t>
  </si>
  <si>
    <t>Customer's Display /2 x 20 characters</t>
  </si>
  <si>
    <t>GPX Br k</t>
  </si>
  <si>
    <t>Laser Scanner</t>
  </si>
  <si>
    <t>GP4T + Pr K Ws</t>
  </si>
  <si>
    <t>Contactless card reader interface for WS</t>
  </si>
  <si>
    <t>GSA Re + Pr</t>
  </si>
  <si>
    <t>Contactless card reader with post</t>
  </si>
  <si>
    <t>GP4T + Br</t>
  </si>
  <si>
    <t xml:space="preserve">Completing the exit/entry terminal GP4T with a bar code scanner </t>
  </si>
  <si>
    <t>GPXIv Master</t>
  </si>
  <si>
    <t>Telephone designed for connection of intercom via IP network</t>
  </si>
  <si>
    <t>SYSTEM WORKSTATION/POS - SAMPLE ONLY</t>
  </si>
  <si>
    <t>GPD</t>
  </si>
  <si>
    <t>Data Server
PC GreenPro without a monitor,  configured for the purpose of management and administration of parking systems.</t>
  </si>
  <si>
    <t>GP DATASWITCH</t>
  </si>
  <si>
    <t>8-Port Data Switch</t>
  </si>
  <si>
    <t>SERVER - SAMPLE ONLY</t>
  </si>
  <si>
    <t>GPX LCD</t>
  </si>
  <si>
    <t>LCD Monitor 19"</t>
  </si>
  <si>
    <t>SOFTWARES - SAMPLE ONLY</t>
  </si>
  <si>
    <t>SW admin</t>
  </si>
  <si>
    <t>Licence administration for the server and manual pay station/client PC.
Setting, generating of the installation basic setting, archiving of the setting basic parameters</t>
  </si>
  <si>
    <t>GPP Cash 2</t>
  </si>
  <si>
    <t>SW set GP Cash/GP Config
Software designed for the administration and supervision of the parking system with short-term parking for the parking size of upto 2 pcs connected terminals</t>
  </si>
  <si>
    <t>GPP Cash 5</t>
  </si>
  <si>
    <t>SW set GP Cash/GP Config
Software designed for the administration and supervision of the parking system with short-term parking for the parking size of upto 5 pcs connected terminals</t>
  </si>
  <si>
    <t>GPSW +</t>
  </si>
  <si>
    <t>SW for every additional terminal over 5pcs of connected terminals</t>
  </si>
  <si>
    <t>GPSW RT Pay</t>
  </si>
  <si>
    <t>Additional set of report templates for automatic pay stations broadening the standard set of reports</t>
  </si>
  <si>
    <t>GPSW Cash POS</t>
  </si>
  <si>
    <t>SW licence for operating every additional cash register/client PC</t>
  </si>
  <si>
    <t>GPP Resident</t>
  </si>
  <si>
    <t>SW for the administration of long-term and congress cards
Software designed for the administration and supervision of long-term parking.</t>
  </si>
  <si>
    <t>GPP Report</t>
  </si>
  <si>
    <t>SW module for the preparation of data reports</t>
  </si>
  <si>
    <t>SQL s</t>
  </si>
  <si>
    <t>Sybase SQL server – database – licence for GPD and GPDK</t>
  </si>
  <si>
    <t>SQL c</t>
  </si>
  <si>
    <t>Sybase SQL client (for second and every additional GPK stations)</t>
  </si>
  <si>
    <t>GPSW CamServer</t>
  </si>
  <si>
    <t>Software for Network Camera Connection</t>
  </si>
  <si>
    <t>GPSW day/night</t>
  </si>
  <si>
    <t>SW for blocking of access day or night (optional)</t>
  </si>
  <si>
    <t>AUTOMATIC BARRIER (at entry and exit) - SAMPLE ONLY</t>
  </si>
  <si>
    <t>GPB FC-D</t>
  </si>
  <si>
    <t>Automatic road barrier for intensive traffic
Specially designed for GP4P VARIANT line,  for installation with GP4T for max 3m barrier arm without accessories, opening/closing time 1 sec., frequency changer, control unit, external detector, balancing spring included, right or left execution, additional heater for temperatures between -15 C and -30 C incl., zinc coated, powder coated</t>
  </si>
  <si>
    <t>GPB Bpn4000</t>
  </si>
  <si>
    <t xml:space="preserve">Barrier arm for GPB, rectangular profile, Al,  23x80mm, L=4M    </t>
  </si>
  <si>
    <t>GPB Bpn3000</t>
  </si>
  <si>
    <t xml:space="preserve">Barrier arm for GPB, rectangular profile, Al,  23x80mm, L=3M    </t>
  </si>
  <si>
    <t>GPB CB</t>
  </si>
  <si>
    <t xml:space="preserve">Protective rubber stripe (price per 1m) </t>
  </si>
  <si>
    <t xml:space="preserve">GPB Jo </t>
  </si>
  <si>
    <t>Knuckle mechanics  of  folding arm/articulated beam
- for parking places with low ceilings (max. 5m arm, bend angle  90°) - only for GBP Bpn barrier arms</t>
  </si>
  <si>
    <t>SEM120 SF Dio</t>
  </si>
  <si>
    <t>Semaphore with 2  lights LED  (red &amp; green), 120mm in diameter – metal, without holder</t>
  </si>
  <si>
    <t>GPS Sem S</t>
  </si>
  <si>
    <t>Traffic light post - small, for the installation on the top of a barrier</t>
  </si>
  <si>
    <t>GPB Fs</t>
  </si>
  <si>
    <t xml:space="preserve">Infrared photocell (transmitter-receiver combination), - range 30m, 24 V, DC/AC, for direct installation </t>
  </si>
  <si>
    <t>GPB Fs Post</t>
  </si>
  <si>
    <t>Photocell post</t>
  </si>
  <si>
    <t>DET ProLoop2</t>
  </si>
  <si>
    <t>Two-channel DIN vehicle loop sensor</t>
  </si>
  <si>
    <t>GP SM Z</t>
  </si>
  <si>
    <t>Induction Loop Coil</t>
  </si>
  <si>
    <t>INTEGRATION, TESTING AND COMMISSIONING</t>
  </si>
  <si>
    <t>Entry Terminal</t>
  </si>
  <si>
    <t>Exit Terminal</t>
  </si>
  <si>
    <t>Automatic Barriers</t>
  </si>
  <si>
    <t>Server</t>
  </si>
  <si>
    <t>Workstation/POS Cashier</t>
  </si>
  <si>
    <t>INSTALLATION LABOR AND MATERIALS (ELECTRICAL LAYOUT &amp; DATA CONNECTION FROM MAIN SOURCE)</t>
  </si>
  <si>
    <t>Prices of cabling, network elements, fibre optics converters are not included.</t>
  </si>
  <si>
    <t>CONSUMABLES</t>
  </si>
  <si>
    <t>TPR G4T Fr</t>
  </si>
  <si>
    <t>Fan-fold Thermo paper for entry terminal (GP4T Variant)</t>
  </si>
  <si>
    <t>TCE 54/9210/5 135G/M2</t>
  </si>
  <si>
    <t>Thermo paper roll (2,100 Tickets)</t>
  </si>
  <si>
    <t>TCE 80/P80 /12/55 GR/M2</t>
  </si>
  <si>
    <t>Thermal receipt paper</t>
  </si>
  <si>
    <t>CARD MARIN KK</t>
  </si>
  <si>
    <t>Contactless card marin (Proximity card)</t>
  </si>
  <si>
    <t>NEDAP RFID TAG</t>
  </si>
  <si>
    <t>Headlight RFID tag</t>
  </si>
  <si>
    <t>PARKING TELLER BOOTH (MAIN &amp; TWO-SEATER/OFFICE)</t>
  </si>
  <si>
    <t>1040X2200 BOOTH</t>
  </si>
  <si>
    <t>Composite panel exterior finish with provision of electrical fixtures, lighting, switches &amp; convenient outlets. Provision of work desk</t>
  </si>
  <si>
    <t>1040X3220 BOOTH</t>
  </si>
  <si>
    <t>ADVANCE PAYMENT OPTIONS:</t>
  </si>
  <si>
    <t>AUTOMATIC PAY STATION APS</t>
  </si>
  <si>
    <t>GP4MS BVCV</t>
  </si>
  <si>
    <t>On-foot Automatic Pay Station Machine</t>
  </si>
  <si>
    <t>GP4M + Br</t>
  </si>
  <si>
    <t xml:space="preserve">Barcode card/ticket reader scanner  </t>
  </si>
  <si>
    <t>GP4M + Hp</t>
  </si>
  <si>
    <t>Coin hopper 5-6 denomination coin tubes</t>
  </si>
  <si>
    <t>GP4M + Bd</t>
  </si>
  <si>
    <t>Banknote dispenser module 8-denom. 1-currency</t>
  </si>
  <si>
    <t>GP4MS  + Cn OEM</t>
  </si>
  <si>
    <t>Credit card payment module</t>
  </si>
  <si>
    <t>GP4MS  + Cn prep</t>
  </si>
  <si>
    <t>Set of component w/ SW installaTion into GP4MS</t>
  </si>
  <si>
    <t>GP4M + Touchscreen</t>
  </si>
  <si>
    <t>Touchscreen monitor</t>
  </si>
  <si>
    <t>HAND-HELD MOBILE TERMINAL</t>
  </si>
  <si>
    <t>GPSW Web MP2</t>
  </si>
  <si>
    <t>SW Web interface license for mobile pay station</t>
  </si>
  <si>
    <t>GPXHSW Cash POS</t>
  </si>
  <si>
    <t>SW license for operating mobile cash register</t>
  </si>
  <si>
    <t>GPXH Mr k</t>
  </si>
  <si>
    <t>Mobile pay station w/ barcode scanner &amp; printer</t>
  </si>
  <si>
    <t>ACCESS OPTIONS:</t>
  </si>
  <si>
    <t>LICENSE PLATE RECOGNITION</t>
  </si>
  <si>
    <t>GPP LPR 2</t>
  </si>
  <si>
    <t>Software for processing and recording licence plate numbers (LPR) for connection of 2 pcs cameras
SW is limited for one entry and one exit as additional  SW module of GPCash2, HW key incl. licence plate recognition after 3 seconds, suplement of GPP Cash. 
Licence plate recognition after approx. 500 ms,  designed for larger car parks.</t>
  </si>
  <si>
    <t>GPP LPR</t>
  </si>
  <si>
    <t>Software, inl. USB key for processing and recording license plate numbers (LPR)
SW is limited for one processor core of the server, number of cameras is not limited, HW key incl. Only as the supplement of GPP Cash. It is not possible to install GPP LPR on the same PC which works also as the manual cash register. License plate recognition after approx. 500 ms, designed for larger car parks.</t>
  </si>
  <si>
    <t>Cam LPR Digi</t>
  </si>
  <si>
    <t>Digital infrared camera B/W designed to be used with  GPP LPR 2.</t>
  </si>
  <si>
    <t>GPX Ps 12V/1A</t>
  </si>
  <si>
    <t>Power supply 12V/1A  for Cam LPR Digi</t>
  </si>
  <si>
    <t>GPS LPR</t>
  </si>
  <si>
    <t>LPR camera post</t>
  </si>
  <si>
    <t>UHF LONG RANGE READER</t>
  </si>
  <si>
    <t>Creator</t>
  </si>
  <si>
    <t>COST</t>
  </si>
  <si>
    <t>EUR</t>
  </si>
  <si>
    <t>M.UP</t>
  </si>
  <si>
    <t>T.COST.EUR</t>
  </si>
  <si>
    <t>Series Information</t>
  </si>
  <si>
    <t>Quotation For</t>
  </si>
  <si>
    <t>MAXIMUM NUMBER OF THE TEMPLATER :( CREATE A NEW COPY!</t>
  </si>
  <si>
    <t>Created Quote No.: 19-013</t>
  </si>
  <si>
    <t>Successfully created Folder for 19-013</t>
  </si>
  <si>
    <t>Series No. 19-013 successfully saved</t>
  </si>
  <si>
    <t>Walter Uy</t>
  </si>
  <si>
    <t>Series No. 19-001 successfully saved</t>
  </si>
  <si>
    <t>Revised Series No.: 19-0011</t>
  </si>
  <si>
    <t>Successfully created Folder for 19-0011</t>
  </si>
  <si>
    <t>Created Series No.: 19-001</t>
  </si>
  <si>
    <t>Series Error! Name 19-001 already taken or folder existing</t>
  </si>
  <si>
    <t>Created Series No.: 19-013</t>
  </si>
  <si>
    <t>Collect All series Data Done</t>
  </si>
  <si>
    <t>Revised Series No.: 19-0131</t>
  </si>
  <si>
    <t>Successfully created Folder for 19-0131</t>
  </si>
  <si>
    <t>Revised Series No.: 19-01311</t>
  </si>
  <si>
    <t>Successfully created Folder for 19-01311</t>
  </si>
  <si>
    <t>Created Series No.: 19-014</t>
  </si>
  <si>
    <t>Successfully created Folder for 19-014</t>
  </si>
  <si>
    <t>Series No. 19-014 successfully saved</t>
  </si>
  <si>
    <t xml:space="preserve">Go to Series: </t>
  </si>
  <si>
    <t>Revised Series No.: 19-0141</t>
  </si>
  <si>
    <t>Successfully created Folder for 19-0141</t>
  </si>
  <si>
    <t>Created Series No.: 19-015</t>
  </si>
  <si>
    <t>Successfully created Folder for 19-015</t>
  </si>
  <si>
    <t>Series No. 19-015 successfully saved</t>
  </si>
  <si>
    <t>Revised Series No.: 19-0151</t>
  </si>
  <si>
    <t>Successfully created Folder for 19-0151</t>
  </si>
  <si>
    <t>Revised Series No.: 19-01511</t>
  </si>
  <si>
    <t>Successfully created Folder for 19-01511</t>
  </si>
  <si>
    <t>Created Series No.: 19-016</t>
  </si>
  <si>
    <t>Successfully created Folder for 19-016</t>
  </si>
  <si>
    <t>Series No. 19-016 successfully saved</t>
  </si>
  <si>
    <t>Revised Series No.: 19-0161</t>
  </si>
  <si>
    <t>Successfully created Folder for 19-0161</t>
  </si>
  <si>
    <t>Created Series No.: 19-017</t>
  </si>
  <si>
    <t>Successfully created Folder for 19-017</t>
  </si>
  <si>
    <t>Series No. 19-017 successfully saved</t>
  </si>
  <si>
    <t>Revised Series No.: 19-0171</t>
  </si>
  <si>
    <t>Successfully created Folder for 19-0171</t>
  </si>
  <si>
    <t>Created Series No.: 19-018</t>
  </si>
  <si>
    <t>Successfully created Folder for 19-018</t>
  </si>
  <si>
    <t>Series No. 19-018 successfully saved</t>
  </si>
  <si>
    <t>Revised Series No.: 19-0181</t>
  </si>
  <si>
    <t>Successfully created Folder for 19-0181</t>
  </si>
  <si>
    <t>Created Series No.: 19-019</t>
  </si>
  <si>
    <t>Successfully created Folder for 19-019</t>
  </si>
  <si>
    <t>Series No. 19-019 successfully saved</t>
  </si>
  <si>
    <t>Revised Series No.: 19-0191</t>
  </si>
  <si>
    <t>Successfully created Folder for 19-0191</t>
  </si>
  <si>
    <t>Created Series No.: 19-020</t>
  </si>
  <si>
    <t>Successfully created Folder for 19-020</t>
  </si>
  <si>
    <t>Series No. 19-020 successfully saved</t>
  </si>
  <si>
    <t>Revised Series No.: 19-0201</t>
  </si>
  <si>
    <t>Successfully created Folder for 19-0201</t>
  </si>
  <si>
    <t>Created Series No.: 19-021</t>
  </si>
  <si>
    <t>Successfully created Folder for 19-021</t>
  </si>
  <si>
    <t>Series No. 19-021 successfully saved</t>
  </si>
  <si>
    <t>Revised Series No.: 19-0211</t>
  </si>
  <si>
    <t>Successfully created Folder for 19-0211</t>
  </si>
  <si>
    <t>Series No. 19-0211 successfully saved</t>
  </si>
  <si>
    <t>Revised Series No.: 19-02111</t>
  </si>
  <si>
    <t>Successfully created Folder for 19-02111</t>
  </si>
  <si>
    <t>Series No. 19-02111 successfully saved</t>
  </si>
  <si>
    <t>Series Error! Name 19-013 already taken or folder existing</t>
  </si>
  <si>
    <t>Error creating: 19-0141</t>
  </si>
  <si>
    <t>Go to Series: 1</t>
  </si>
  <si>
    <t>Series No. 19-0131 successfully saved</t>
  </si>
  <si>
    <t>Go to Series: 19-0131</t>
  </si>
  <si>
    <t>Series No. 19-01311 successfully saved</t>
  </si>
  <si>
    <t>Record Status</t>
  </si>
  <si>
    <t>DO NOT DELETE A CELL!
BILANG ANG CELL DITO</t>
  </si>
  <si>
    <t>Created Series No.: 19-103</t>
  </si>
  <si>
    <t>Successfully created Folder for 19-103</t>
  </si>
  <si>
    <t>Metro Parking Management Phils., Inc.</t>
  </si>
  <si>
    <t>(632) 752-1026 ext 104, 0932 465 3004</t>
  </si>
  <si>
    <t>4th Floor Salustiana D. Ty Tower 104 Paseo de Roxas St. corner Perea St. 1226 Makati City, Philippines</t>
  </si>
  <si>
    <t>Marilyn Carbon</t>
  </si>
  <si>
    <t>PC</t>
  </si>
  <si>
    <t>Collect On Delivery</t>
  </si>
  <si>
    <t>NA</t>
  </si>
  <si>
    <t>19-013</t>
  </si>
  <si>
    <t>Ryan Maniego</t>
  </si>
  <si>
    <t>19-014</t>
  </si>
  <si>
    <t>(632) 752-1026 ext 104, 09258018465</t>
  </si>
  <si>
    <t>Site Service Labor</t>
  </si>
  <si>
    <t>Service Report: SRN-162</t>
  </si>
  <si>
    <t>Fixture of offline entry terminal and barrier errors</t>
  </si>
  <si>
    <t>lot</t>
  </si>
  <si>
    <t>Collect on delivery</t>
  </si>
  <si>
    <t>7 Days</t>
  </si>
  <si>
    <t>Record OK</t>
  </si>
  <si>
    <t>Romeo Balena, Regis Center</t>
  </si>
  <si>
    <t>Go to Series: (632) 752-1026 ext 104, 0932 465 3004</t>
  </si>
  <si>
    <t>Record Editable! Please Save!</t>
  </si>
  <si>
    <t>19-015</t>
  </si>
  <si>
    <t>The Molito Lifestyle Center</t>
  </si>
  <si>
    <t>1 x server, 1x work station, 3xPOS, 3xentry, 3exit</t>
  </si>
  <si>
    <t>GP4T Variant Parking System Basic Terminal
Case: steel metal sheet 2 mm, fibreglass 4 mm
Finish: zinc coated, powder coated 
Power supply: 230 V/6A
Control unit: GP4 Cu LAN
Communication: TCP/IP
Heating and ventilation with bimethal control
Input for vehicle detector</t>
  </si>
  <si>
    <t>GP4T + BpRo</t>
  </si>
  <si>
    <t>SUB-TOTAL</t>
  </si>
  <si>
    <r>
      <t>UNMANNED ENTRY</t>
    </r>
    <r>
      <rPr>
        <sz val="10"/>
        <color indexed="8"/>
        <rFont val="Calibri"/>
        <family val="2"/>
      </rPr>
      <t xml:space="preserve"> (pay short-term visitor &amp; long-term free parkers)</t>
    </r>
  </si>
  <si>
    <r>
      <t xml:space="preserve">MANNED EXIT P.O.S. </t>
    </r>
    <r>
      <rPr>
        <sz val="10"/>
        <color indexed="8"/>
        <rFont val="Calibri"/>
        <family val="2"/>
      </rPr>
      <t>(pay short-term visitor parker)</t>
    </r>
  </si>
  <si>
    <t>Universal control unit GP4U</t>
  </si>
  <si>
    <r>
      <t xml:space="preserve">MANNED EXIT P.O.S. </t>
    </r>
    <r>
      <rPr>
        <sz val="10"/>
        <color indexed="8"/>
        <rFont val="Calibri"/>
        <family val="2"/>
      </rPr>
      <t>(pay short-term visitor &amp; long-term free parkers)</t>
    </r>
  </si>
  <si>
    <t xml:space="preserve">GPX LCD </t>
  </si>
  <si>
    <t>LCD Monitor 19 "</t>
  </si>
  <si>
    <t xml:space="preserve">DATA SERVER </t>
  </si>
  <si>
    <t xml:space="preserve">SYSTEM WORK STATION </t>
  </si>
  <si>
    <t>16-Port Gigabit Data Switch</t>
  </si>
  <si>
    <t xml:space="preserve">SYSTEM SOFTWARES </t>
  </si>
  <si>
    <t xml:space="preserve">AUTOMATIC CAR BARRIER </t>
  </si>
  <si>
    <t>Automatic road barrier for intensive traffic
Specially designed for GP4P VARIANT line, for installation with GP4T for max 3m barrier arm without accessories, opening/closing time 1 sec., frequency changer, control unit, external detector, balancing spring included, right or left execution, incl.,zinc coated, powder coated</t>
  </si>
  <si>
    <t>Exit Controller</t>
  </si>
  <si>
    <t xml:space="preserve">Workstation/POS </t>
  </si>
  <si>
    <t>(Note: Subject for site occular inspection)</t>
  </si>
  <si>
    <t>TOTAL CONTRACT PRICE FOR EQUIPMENT</t>
  </si>
  <si>
    <t>Terms and Conditions:</t>
  </si>
  <si>
    <t>Molito Lifestyle Center</t>
  </si>
  <si>
    <t>XXX XXX</t>
  </si>
  <si>
    <t>Lot</t>
  </si>
  <si>
    <t>2 Years warranty period under normal use</t>
  </si>
  <si>
    <t xml:space="preserve">Madrigal Ave. corner Commerce Ave., Alabang Muntinlupa City </t>
  </si>
  <si>
    <t>UNMANNED ENTRY (pay short-term visitor parker)</t>
  </si>
  <si>
    <t>Created Series No.: 19-015 - test</t>
  </si>
  <si>
    <t>Successfully created Folder for 19-015 - test</t>
  </si>
  <si>
    <t>19-016</t>
  </si>
  <si>
    <t xml:space="preserve">AUTOMATIC ROAD BARRIER </t>
  </si>
  <si>
    <t>SEM120 PL Dio</t>
  </si>
  <si>
    <t>Semaphore with 2  lights LED  (red &amp; green), 120mm in diameter – plastic, with holder</t>
  </si>
  <si>
    <t>JY Square Mall</t>
  </si>
  <si>
    <t>1 x Server/Work station, 2 x Exit POS, 3 x Umanned Entry, 1 x Unmanned Exit</t>
  </si>
  <si>
    <t>GP4T Variant Parking System Basic Terminal
Case: steel metal sheet -2mm, fibreglass 4mm
Finish: zinc coated, powder coated 
Power supply: 230 V/6A
Control unit: GP4 Cu LAN
Communication: TCP/IP
Heating and ventilation with bimethal control
Input for vehicle detector</t>
  </si>
  <si>
    <t xml:space="preserve">G/F UNMANNED ENTRY (Ticket Dispenser, and Proximity Card Reader) </t>
  </si>
  <si>
    <t>GSA Un Big</t>
  </si>
  <si>
    <t xml:space="preserve">Universal control unit post for two peripherals </t>
  </si>
  <si>
    <t>GPX+Pr232/5V</t>
  </si>
  <si>
    <t>Contactless card reader</t>
  </si>
  <si>
    <t xml:space="preserve">B/F VIP ENTRY/EXIT (Proximity Card Reader) </t>
  </si>
  <si>
    <t>G/F MANNED EXIT (Ticket reader, proximity card reader)</t>
  </si>
  <si>
    <t>Receipt printer EPSON /TMT/, paper to 80 g</t>
  </si>
  <si>
    <t>SERVER/WORKSTATION</t>
  </si>
  <si>
    <t>CASHIER POS</t>
  </si>
  <si>
    <t>Data Server/Workstation PC GreenPro without monitor, configured for the purpose of management and administration of parking systems.</t>
  </si>
  <si>
    <t xml:space="preserve">GPX + Pr K </t>
  </si>
  <si>
    <t>16-Port Data Switch</t>
  </si>
  <si>
    <t xml:space="preserve">Back-up power supply for installation with the server/workstation </t>
  </si>
  <si>
    <t>SYSTEM SOFTWARE</t>
  </si>
  <si>
    <t>GPSW+ Cash POS</t>
  </si>
  <si>
    <t>Sybase SQL server – database – licence for GPK</t>
  </si>
  <si>
    <t>Sybase SQL client (for second and every additional GPK PC stations)</t>
  </si>
  <si>
    <t>VEHICLE LOOP SENSOR</t>
  </si>
  <si>
    <t>ENTRANCE COUNTER LED DISPLAYS</t>
  </si>
  <si>
    <t>GP4l Disp3 + P</t>
  </si>
  <si>
    <t>(Note: Subject for Final Occular Inspection)</t>
  </si>
  <si>
    <t>NET CONTRACT PRICE FOR EQUIPMENT</t>
  </si>
  <si>
    <t xml:space="preserve">Universal control unit TCP/IP, LCD 2x20 display </t>
  </si>
  <si>
    <t>GP4U CuLAN + Disp</t>
  </si>
  <si>
    <t>Slot Information Display 3 Digits, Indication of car park occupancy (number of empty spaces, 3 digits) Microcomputer SW control, TCP/IP communication, high intensity illumination LEDs in orange color, weatherproof with "P" sign</t>
  </si>
  <si>
    <t>Lifetime service support, FREE annual check-up</t>
  </si>
  <si>
    <t xml:space="preserve">TOTAL </t>
  </si>
  <si>
    <t>LOT</t>
  </si>
  <si>
    <t>#1 Salinas Dr. Cebu City</t>
  </si>
  <si>
    <t xml:space="preserve">Supply, Installation, Termination Testing and Commisioning of GREEN CENTER  GP4T Variant Model Parking Management  System </t>
  </si>
  <si>
    <t>*New Series*</t>
  </si>
  <si>
    <t>(032) 232 7235</t>
  </si>
  <si>
    <t xml:space="preserve">Ricky Esgana-0932-9882563 </t>
  </si>
  <si>
    <t>JY Square Mall Cebu</t>
  </si>
  <si>
    <t>Go to Series: XXX XXX Not found</t>
  </si>
  <si>
    <t>Supply, Installation, Termination, Testing and Commisioning of GREEN CENTER GP4T Variant Parking Management System</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</si>
</sst>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4" formatCode="_(&quot;$&quot;* #,##0.00_);_(&quot;$&quot;* \(#,##0.00\);_(&quot;$&quot;* &quot;-&quot;??_);_(@_)"/>
    <numFmt numFmtId="164" formatCode="[&lt;=9999999]###\-####;\(###\)\ ###\-####"/>
    <numFmt numFmtId="165" formatCode="_-[$₱-464]* #,##0.00_-;\-[$₱-464]* #,##0.00_-;_-[$₱-464]* &quot;-&quot;??_-;_-@_-"/>
    <numFmt numFmtId="166" formatCode="[$-409]mmmm\ d\,\ yyyy;@"/>
    <numFmt numFmtId="167" formatCode="yy/mm/dd"/>
    <numFmt numFmtId="168" formatCode="\ * #,##0.00\ ;\ * \(#,##0.00\);\ * \-#\ ;\ @\ "/>
    <numFmt numFmtId="169" formatCode="[$€]\ #,##0"/>
    <numFmt numFmtId="170" formatCode="[$€-2]\ #,##0.00"/>
    <numFmt numFmtId="171" formatCode="[$₱-464]#,##0.00"/>
    <numFmt numFmtId="172" formatCode="#,##0.0"/>
    <numFmt numFmtId="173" formatCode="[$₱-464]#,##0.00;\-[$₱-464]#,##0.00"/>
  </numFmts>
  <fonts count="34">
    <font>
      <sz val="11"/>
      <name val="Arial"/>
      <family val="2"/>
      <scheme val="minor"/>
    </font>
    <font>
      <b/>
      <sz val="10"/>
      <name val="Arial"/>
      <family val="2"/>
    </font>
    <font>
      <sz val="28"/>
      <color theme="1" tint="0.499984740745262"/>
      <name val="Arial"/>
      <family val="2"/>
      <scheme val="major"/>
    </font>
    <font>
      <sz val="11"/>
      <name val="Arial"/>
      <family val="2"/>
      <scheme val="minor"/>
    </font>
    <font>
      <b/>
      <sz val="18"/>
      <color theme="1" tint="0.24994659260841701"/>
      <name val="Arial"/>
      <family val="2"/>
      <scheme val="minor"/>
    </font>
    <font>
      <b/>
      <sz val="11"/>
      <name val="Arial"/>
      <family val="2"/>
      <scheme val="minor"/>
    </font>
    <font>
      <i/>
      <sz val="11"/>
      <name val="Arial"/>
      <family val="2"/>
      <scheme val="minor"/>
    </font>
    <font>
      <sz val="10"/>
      <name val="Arial"/>
      <family val="2"/>
    </font>
    <font>
      <sz val="9"/>
      <color indexed="81"/>
      <name val="Tahoma"/>
      <family val="2"/>
    </font>
    <font>
      <b/>
      <sz val="9"/>
      <color indexed="81"/>
      <name val="Tahoma"/>
      <family val="2"/>
    </font>
    <font>
      <sz val="11"/>
      <color theme="0"/>
      <name val="Arial"/>
      <family val="2"/>
      <scheme val="minor"/>
    </font>
    <font>
      <sz val="11"/>
      <name val="Arial"/>
      <family val="2"/>
      <scheme val="minor"/>
    </font>
    <font>
      <i/>
      <sz val="11"/>
      <name val="Calibri"/>
      <family val="2"/>
    </font>
    <font>
      <b/>
      <sz val="20"/>
      <color theme="1" tint="0.24994659260841701"/>
      <name val="Calibri"/>
      <family val="2"/>
    </font>
    <font>
      <sz val="11"/>
      <name val="Calibri"/>
      <family val="2"/>
    </font>
    <font>
      <b/>
      <sz val="11"/>
      <name val="Calibri"/>
      <family val="2"/>
    </font>
    <font>
      <sz val="10"/>
      <name val="Calibri"/>
      <family val="2"/>
    </font>
    <font>
      <sz val="10"/>
      <color theme="1" tint="0.34998626667073579"/>
      <name val="Calibri"/>
      <family val="2"/>
    </font>
    <font>
      <sz val="11"/>
      <color indexed="8"/>
      <name val="Calibri"/>
      <family val="2"/>
    </font>
    <font>
      <sz val="11"/>
      <color indexed="30"/>
      <name val="Calibri"/>
      <family val="2"/>
    </font>
    <font>
      <b/>
      <sz val="11"/>
      <color indexed="8"/>
      <name val="Calibri"/>
      <family val="2"/>
    </font>
    <font>
      <b/>
      <sz val="11"/>
      <color indexed="30"/>
      <name val="Calibri"/>
      <family val="2"/>
    </font>
    <font>
      <b/>
      <sz val="12"/>
      <name val="Calibri"/>
      <family val="2"/>
    </font>
    <font>
      <b/>
      <sz val="36"/>
      <color rgb="FFFF0000"/>
      <name val="Calibri"/>
      <family val="2"/>
    </font>
    <font>
      <b/>
      <sz val="11"/>
      <color theme="1"/>
      <name val="Calibri"/>
      <family val="2"/>
    </font>
    <font>
      <sz val="11"/>
      <color theme="3" tint="0.39997558519241921"/>
      <name val="Arial"/>
      <family val="2"/>
      <scheme val="minor"/>
    </font>
    <font>
      <sz val="18"/>
      <color rgb="FFFFFF00"/>
      <name val="Arial"/>
      <family val="2"/>
      <scheme val="minor"/>
    </font>
    <font>
      <sz val="11"/>
      <name val="Calibri"/>
    </font>
    <font>
      <sz val="10"/>
      <name val="Calibri"/>
    </font>
    <font>
      <sz val="10"/>
      <color indexed="8"/>
      <name val="Calibri"/>
      <family val="2"/>
    </font>
    <font>
      <i/>
      <sz val="10"/>
      <color rgb="FFFF0000"/>
      <name val="Calibri"/>
      <family val="2"/>
    </font>
    <font>
      <b/>
      <sz val="10"/>
      <name val="Calibri"/>
      <family val="2"/>
    </font>
    <font>
      <sz val="10"/>
      <name val="Arial"/>
      <family val="2"/>
      <scheme val="minor"/>
    </font>
    <font>
      <i/>
      <sz val="11"/>
      <color rgb="FFFF0000"/>
      <name val="Calibri"/>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theme="0" tint="-4.9989318521683403E-2"/>
        <bgColor indexed="41"/>
      </patternFill>
    </fill>
    <fill>
      <patternFill patternType="solid">
        <fgColor theme="0" tint="-4.9989318521683403E-2"/>
        <bgColor indexed="52"/>
      </patternFill>
    </fill>
    <fill>
      <patternFill patternType="solid">
        <fgColor theme="0" tint="-4.9989318521683403E-2"/>
        <bgColor indexed="31"/>
      </patternFill>
    </fill>
    <fill>
      <patternFill patternType="solid">
        <fgColor rgb="FFFFFF00"/>
        <bgColor indexed="64"/>
      </patternFill>
    </fill>
    <fill>
      <patternFill patternType="solid">
        <fgColor rgb="FFFFCC00"/>
        <bgColor indexed="52"/>
      </patternFill>
    </fill>
    <fill>
      <patternFill patternType="solid">
        <fgColor rgb="FFFFCC00"/>
        <bgColor indexed="64"/>
      </patternFill>
    </fill>
    <fill>
      <patternFill patternType="solid">
        <fgColor theme="0" tint="-0.14999847407452621"/>
        <bgColor indexed="52"/>
      </patternFill>
    </fill>
    <fill>
      <patternFill patternType="solid">
        <fgColor theme="0" tint="-0.14999847407452621"/>
        <bgColor indexed="64"/>
      </patternFill>
    </fill>
    <fill>
      <patternFill patternType="solid">
        <fgColor rgb="FFFF0000"/>
        <bgColor indexed="64"/>
      </patternFill>
    </fill>
  </fills>
  <borders count="4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s>
  <cellStyleXfs count="23">
    <xf numFmtId="0" fontId="0" fillId="0" borderId="0">
      <alignment horizontal="left" vertical="center" wrapText="1"/>
    </xf>
    <xf numFmtId="3" fontId="3" fillId="0" borderId="0" applyFont="0" applyFill="0" applyBorder="0">
      <alignment horizontal="center" vertical="center"/>
    </xf>
    <xf numFmtId="44" fontId="7" fillId="0" borderId="0" applyFont="0" applyFill="0" applyBorder="0" applyProtection="0">
      <alignment horizontal="right" vertical="center"/>
    </xf>
    <xf numFmtId="10" fontId="7" fillId="0" borderId="0" applyFont="0" applyFill="0" applyBorder="0" applyProtection="0">
      <alignment horizontal="right" vertical="center"/>
    </xf>
    <xf numFmtId="0" fontId="2" fillId="0" borderId="0">
      <alignment horizontal="right"/>
    </xf>
    <xf numFmtId="0" fontId="4" fillId="0" borderId="0"/>
    <xf numFmtId="0" fontId="6" fillId="0" borderId="0">
      <alignment horizontal="right"/>
    </xf>
    <xf numFmtId="0" fontId="5" fillId="0" borderId="0">
      <alignment vertical="top"/>
    </xf>
    <xf numFmtId="0" fontId="5" fillId="0" borderId="0">
      <alignment horizontal="right" vertical="center"/>
    </xf>
    <xf numFmtId="0" fontId="3" fillId="0" borderId="1">
      <alignment horizontal="center" vertical="center" wrapText="1"/>
    </xf>
    <xf numFmtId="0" fontId="5" fillId="0" borderId="0">
      <alignment horizontal="center" wrapText="1"/>
    </xf>
    <xf numFmtId="0" fontId="6" fillId="0" borderId="0">
      <alignment horizontal="left" vertical="top" wrapText="1"/>
    </xf>
    <xf numFmtId="0" fontId="3" fillId="0" borderId="0">
      <alignment horizontal="right" vertical="center" indent="1"/>
    </xf>
    <xf numFmtId="164" fontId="3" fillId="0" borderId="0" applyFont="0" applyFill="0" applyBorder="0">
      <alignment horizontal="left" vertical="top"/>
    </xf>
    <xf numFmtId="0" fontId="5" fillId="0" borderId="0">
      <alignment horizontal="right"/>
    </xf>
    <xf numFmtId="0" fontId="3" fillId="2" borderId="1">
      <alignment horizontal="center" vertical="center"/>
    </xf>
    <xf numFmtId="49" fontId="3" fillId="0" borderId="0" applyFont="0" applyFill="0" applyBorder="0">
      <alignment horizontal="center" vertical="center" wrapText="1"/>
    </xf>
    <xf numFmtId="0" fontId="3" fillId="0" borderId="2" applyNumberFormat="0" applyFont="0" applyFill="0" applyAlignment="0">
      <alignment horizontal="left" vertical="center" wrapText="1"/>
    </xf>
    <xf numFmtId="14" fontId="3" fillId="0" borderId="0" applyFont="0" applyFill="0" applyBorder="0">
      <alignment horizontal="center" vertical="center"/>
    </xf>
    <xf numFmtId="0" fontId="3" fillId="0" borderId="0">
      <alignment horizontal="left" vertical="center" wrapText="1"/>
    </xf>
    <xf numFmtId="0" fontId="3" fillId="0" borderId="0">
      <alignment horizontal="left" vertical="center" wrapText="1"/>
    </xf>
    <xf numFmtId="14" fontId="3" fillId="0" borderId="0">
      <alignment horizontal="left"/>
    </xf>
    <xf numFmtId="0" fontId="3" fillId="0" borderId="0" applyNumberFormat="0" applyFont="0" applyFill="0" applyBorder="0">
      <alignment horizontal="left" wrapText="1"/>
    </xf>
  </cellStyleXfs>
  <cellXfs count="279">
    <xf numFmtId="0" fontId="0" fillId="0" borderId="0" xfId="0">
      <alignment horizontal="left" vertical="center" wrapText="1"/>
    </xf>
    <xf numFmtId="0" fontId="0" fillId="0" borderId="0" xfId="0">
      <alignment horizontal="left" vertical="center" wrapText="1"/>
    </xf>
    <xf numFmtId="0" fontId="0" fillId="0" borderId="0" xfId="0">
      <alignment horizontal="left" vertical="center" wrapText="1"/>
    </xf>
    <xf numFmtId="165" fontId="0" fillId="0" borderId="0" xfId="2" applyNumberFormat="1" applyFont="1" applyFill="1" applyBorder="1">
      <alignment horizontal="right" vertical="center"/>
    </xf>
    <xf numFmtId="0" fontId="6" fillId="3" borderId="0" xfId="11" applyFill="1">
      <alignment horizontal="left" vertical="top" wrapText="1"/>
    </xf>
    <xf numFmtId="0" fontId="0" fillId="3" borderId="0" xfId="0" applyFill="1">
      <alignment horizontal="left" vertical="center" wrapText="1"/>
    </xf>
    <xf numFmtId="0" fontId="0" fillId="3" borderId="0" xfId="0" applyFont="1" applyFill="1">
      <alignment horizontal="left" vertical="center" wrapText="1"/>
    </xf>
    <xf numFmtId="14" fontId="0" fillId="3" borderId="0" xfId="0" applyNumberFormat="1" applyFont="1" applyFill="1">
      <alignment horizontal="left" vertical="center" wrapText="1"/>
    </xf>
    <xf numFmtId="22" fontId="0" fillId="0" borderId="0" xfId="0" applyNumberFormat="1">
      <alignment horizontal="left" vertical="center" wrapText="1"/>
    </xf>
    <xf numFmtId="0" fontId="0" fillId="4" borderId="0" xfId="0" applyFont="1" applyFill="1">
      <alignment horizontal="left" vertical="center" wrapText="1"/>
    </xf>
    <xf numFmtId="0" fontId="0" fillId="3" borderId="0" xfId="0" applyFont="1" applyFill="1" applyAlignment="1">
      <alignment horizontal="left" vertical="center" wrapText="1"/>
    </xf>
    <xf numFmtId="14" fontId="10" fillId="3" borderId="0" xfId="0" applyNumberFormat="1" applyFont="1" applyFill="1">
      <alignment horizontal="left" vertical="center" wrapText="1"/>
    </xf>
    <xf numFmtId="0" fontId="0" fillId="3" borderId="0" xfId="0" applyFont="1" applyFill="1" applyAlignment="1">
      <alignment vertical="center" wrapText="1"/>
    </xf>
    <xf numFmtId="4" fontId="0" fillId="3" borderId="0" xfId="0" applyNumberFormat="1" applyFont="1" applyFill="1" applyAlignment="1">
      <alignment horizontal="left" vertical="center" wrapText="1"/>
    </xf>
    <xf numFmtId="4" fontId="0" fillId="3" borderId="0" xfId="0" applyNumberFormat="1" applyFont="1" applyFill="1">
      <alignment horizontal="left" vertical="center" wrapText="1"/>
    </xf>
    <xf numFmtId="0" fontId="0" fillId="6" borderId="0" xfId="0" applyFill="1">
      <alignment horizontal="left" vertical="center" wrapText="1"/>
    </xf>
    <xf numFmtId="0" fontId="2" fillId="3" borderId="0" xfId="4" applyFill="1" applyAlignment="1"/>
    <xf numFmtId="0" fontId="0" fillId="3" borderId="0" xfId="0" applyFont="1" applyFill="1" applyAlignment="1">
      <alignment horizontal="left" vertical="center" wrapText="1"/>
    </xf>
    <xf numFmtId="0" fontId="4" fillId="3" borderId="0" xfId="5" applyFill="1"/>
    <xf numFmtId="0" fontId="0" fillId="3" borderId="0" xfId="0" applyFont="1" applyFill="1" applyBorder="1">
      <alignment horizontal="left" vertical="center" wrapText="1"/>
    </xf>
    <xf numFmtId="0" fontId="0" fillId="6" borderId="0" xfId="0" applyFont="1" applyFill="1" applyBorder="1">
      <alignment horizontal="left" vertical="center" wrapText="1"/>
    </xf>
    <xf numFmtId="0" fontId="0" fillId="3" borderId="0" xfId="0" applyFont="1" applyFill="1" applyBorder="1" applyAlignment="1">
      <alignment vertical="center" wrapText="1"/>
    </xf>
    <xf numFmtId="22" fontId="11" fillId="3" borderId="0" xfId="0" applyNumberFormat="1" applyFont="1" applyFill="1" applyBorder="1">
      <alignment horizontal="left" vertical="center" wrapText="1"/>
    </xf>
    <xf numFmtId="14" fontId="0" fillId="3" borderId="0" xfId="0" applyNumberFormat="1" applyFont="1" applyFill="1" applyBorder="1">
      <alignment horizontal="left" vertical="center" wrapText="1"/>
    </xf>
    <xf numFmtId="167" fontId="0" fillId="3" borderId="0" xfId="0" applyNumberFormat="1" applyFont="1" applyFill="1" applyBorder="1">
      <alignment horizontal="left" vertical="center" wrapText="1"/>
    </xf>
    <xf numFmtId="0" fontId="0" fillId="8" borderId="0" xfId="0" applyFont="1" applyFill="1">
      <alignment horizontal="left" vertical="center" wrapText="1"/>
    </xf>
    <xf numFmtId="4" fontId="0" fillId="8" borderId="0" xfId="0" applyNumberFormat="1" applyFont="1" applyFill="1">
      <alignment horizontal="left" vertical="center" wrapText="1"/>
    </xf>
    <xf numFmtId="0" fontId="0" fillId="8" borderId="0" xfId="0" applyFont="1" applyFill="1" applyBorder="1">
      <alignment horizontal="left" vertical="center" wrapText="1"/>
    </xf>
    <xf numFmtId="0" fontId="0" fillId="3" borderId="0" xfId="0" applyFont="1" applyFill="1" applyProtection="1">
      <alignment horizontal="left" vertical="center" wrapText="1"/>
    </xf>
    <xf numFmtId="0" fontId="12" fillId="0" borderId="0" xfId="11" applyFont="1">
      <alignment horizontal="left" vertical="top" wrapText="1"/>
    </xf>
    <xf numFmtId="0" fontId="14" fillId="0" borderId="0" xfId="0" applyFont="1">
      <alignment horizontal="left" vertical="center" wrapText="1"/>
    </xf>
    <xf numFmtId="0" fontId="14" fillId="0" borderId="0" xfId="0" applyFont="1" applyAlignment="1">
      <alignment vertical="center" wrapText="1"/>
    </xf>
    <xf numFmtId="0" fontId="12" fillId="0" borderId="0" xfId="6" applyFont="1">
      <alignment horizontal="right"/>
    </xf>
    <xf numFmtId="166" fontId="14" fillId="0" borderId="0" xfId="21" applyNumberFormat="1" applyFont="1">
      <alignment horizontal="left"/>
    </xf>
    <xf numFmtId="0" fontId="16" fillId="0" borderId="0" xfId="0" applyFont="1" applyAlignment="1">
      <alignment horizontal="left" wrapText="1"/>
    </xf>
    <xf numFmtId="0" fontId="14" fillId="0" borderId="0" xfId="0" applyNumberFormat="1" applyFont="1" applyAlignment="1">
      <alignment horizontal="left" wrapText="1"/>
    </xf>
    <xf numFmtId="0" fontId="14" fillId="0" borderId="0" xfId="0" applyNumberFormat="1" applyFont="1" applyAlignment="1">
      <alignment horizontal="left" vertical="top" wrapText="1"/>
    </xf>
    <xf numFmtId="0" fontId="16" fillId="0" borderId="0" xfId="6" applyFont="1" applyAlignment="1">
      <alignment horizontal="left"/>
    </xf>
    <xf numFmtId="164" fontId="16" fillId="0" borderId="0" xfId="13" applyFont="1" applyAlignment="1">
      <alignment horizontal="left" vertical="top"/>
    </xf>
    <xf numFmtId="166" fontId="14" fillId="0" borderId="0" xfId="0" applyNumberFormat="1" applyFont="1">
      <alignment horizontal="left" vertical="center" wrapText="1"/>
    </xf>
    <xf numFmtId="0" fontId="16" fillId="0" borderId="0" xfId="0" applyFont="1" applyAlignment="1">
      <alignment horizontal="left" vertical="top" wrapText="1"/>
    </xf>
    <xf numFmtId="0" fontId="14" fillId="0" borderId="0" xfId="0" applyFont="1" applyAlignment="1">
      <alignment horizontal="left" vertical="top" wrapText="1"/>
    </xf>
    <xf numFmtId="0" fontId="16" fillId="0" borderId="0" xfId="22" applyFont="1" applyAlignment="1">
      <alignment vertical="top" wrapText="1"/>
    </xf>
    <xf numFmtId="0" fontId="16" fillId="0" borderId="0" xfId="0" applyFont="1">
      <alignment horizontal="left" vertical="center" wrapText="1"/>
    </xf>
    <xf numFmtId="0" fontId="16" fillId="0" borderId="0" xfId="0" applyFont="1" applyAlignment="1">
      <alignment vertical="top" wrapText="1"/>
    </xf>
    <xf numFmtId="0" fontId="14" fillId="0" borderId="0" xfId="0" applyFont="1" applyFill="1" applyBorder="1" applyAlignment="1">
      <alignment horizontal="center" vertical="center"/>
    </xf>
    <xf numFmtId="3" fontId="14" fillId="0" borderId="0" xfId="1" applyFont="1" applyFill="1" applyBorder="1">
      <alignment horizontal="center" vertical="center"/>
    </xf>
    <xf numFmtId="165" fontId="14" fillId="0" borderId="0" xfId="2" applyNumberFormat="1" applyFont="1" applyFill="1" applyBorder="1" applyAlignment="1">
      <alignment horizontal="center" vertical="center"/>
    </xf>
    <xf numFmtId="4" fontId="14" fillId="0" borderId="0" xfId="16" applyNumberFormat="1" applyFont="1" applyFill="1" applyBorder="1">
      <alignment horizontal="center" vertical="center" wrapText="1"/>
    </xf>
    <xf numFmtId="165" fontId="14" fillId="0" borderId="0" xfId="2" applyNumberFormat="1" applyFont="1" applyFill="1" applyBorder="1">
      <alignment horizontal="right" vertical="center"/>
    </xf>
    <xf numFmtId="0" fontId="14" fillId="0" borderId="0" xfId="0" applyFont="1" applyFill="1">
      <alignment horizontal="left" vertical="center" wrapText="1"/>
    </xf>
    <xf numFmtId="0" fontId="16" fillId="0" borderId="0" xfId="0" applyNumberFormat="1" applyFont="1" applyFill="1" applyBorder="1" applyAlignment="1" applyProtection="1">
      <alignment horizontal="right" vertical="center" indent="1"/>
    </xf>
    <xf numFmtId="165" fontId="14" fillId="0" borderId="0" xfId="0" applyNumberFormat="1" applyFont="1" applyAlignment="1">
      <alignment horizontal="right" vertical="center"/>
    </xf>
    <xf numFmtId="0" fontId="16" fillId="0" borderId="0" xfId="12" applyFont="1">
      <alignment horizontal="right" vertical="center" indent="1"/>
    </xf>
    <xf numFmtId="165" fontId="14" fillId="0" borderId="16" xfId="0" applyNumberFormat="1" applyFont="1" applyBorder="1" applyAlignment="1">
      <alignment horizontal="right" vertical="center"/>
    </xf>
    <xf numFmtId="0" fontId="16" fillId="0" borderId="0" xfId="0" applyFont="1" applyAlignment="1">
      <alignment vertical="center" wrapText="1"/>
    </xf>
    <xf numFmtId="165" fontId="14" fillId="2" borderId="16" xfId="0" applyNumberFormat="1" applyFont="1" applyFill="1" applyBorder="1" applyAlignment="1">
      <alignment horizontal="right" vertical="center"/>
    </xf>
    <xf numFmtId="0" fontId="14" fillId="0" borderId="0" xfId="12" applyFont="1">
      <alignment horizontal="right" vertical="center" indent="1"/>
    </xf>
    <xf numFmtId="165" fontId="14" fillId="3" borderId="0" xfId="2" applyNumberFormat="1" applyFont="1" applyFill="1" applyBorder="1">
      <alignment horizontal="right" vertical="center"/>
    </xf>
    <xf numFmtId="0" fontId="14" fillId="0" borderId="0" xfId="0" applyFont="1" applyAlignment="1">
      <alignment horizontal="left" vertical="center"/>
    </xf>
    <xf numFmtId="0" fontId="14" fillId="0" borderId="5" xfId="0" applyFont="1" applyBorder="1" applyAlignment="1">
      <alignment vertical="center" wrapText="1"/>
    </xf>
    <xf numFmtId="0" fontId="14" fillId="0" borderId="8" xfId="0" applyFont="1" applyBorder="1" applyAlignment="1">
      <alignment vertical="center" wrapText="1"/>
    </xf>
    <xf numFmtId="0" fontId="14" fillId="0" borderId="4" xfId="0" applyFont="1" applyBorder="1">
      <alignment horizontal="left" vertical="center" wrapText="1"/>
    </xf>
    <xf numFmtId="0" fontId="14" fillId="0" borderId="14" xfId="0" applyFont="1" applyBorder="1" applyAlignment="1">
      <alignment vertical="center" wrapText="1"/>
    </xf>
    <xf numFmtId="0" fontId="14" fillId="0" borderId="10" xfId="0" applyFont="1" applyBorder="1">
      <alignment horizontal="left" vertical="center" wrapText="1"/>
    </xf>
    <xf numFmtId="0" fontId="14" fillId="0" borderId="7" xfId="0" applyFont="1" applyBorder="1">
      <alignment horizontal="left" vertical="center" wrapText="1"/>
    </xf>
    <xf numFmtId="0" fontId="14" fillId="0" borderId="0" xfId="0" applyFont="1" applyBorder="1" applyAlignment="1">
      <alignment horizontal="center" wrapText="1"/>
    </xf>
    <xf numFmtId="0" fontId="14" fillId="0" borderId="6" xfId="0" applyFont="1" applyBorder="1" applyAlignment="1">
      <alignment horizontal="center" wrapText="1"/>
    </xf>
    <xf numFmtId="0" fontId="14" fillId="0" borderId="11" xfId="0" applyFont="1" applyBorder="1">
      <alignment horizontal="left" vertical="center" wrapText="1"/>
    </xf>
    <xf numFmtId="0" fontId="14" fillId="0" borderId="12" xfId="0" applyFont="1" applyBorder="1" applyAlignment="1">
      <alignment horizontal="center" vertical="top" wrapText="1"/>
    </xf>
    <xf numFmtId="0" fontId="14" fillId="0" borderId="13" xfId="0" applyFont="1" applyBorder="1" applyAlignment="1">
      <alignment horizontal="center" vertical="top" wrapText="1"/>
    </xf>
    <xf numFmtId="0" fontId="17" fillId="0" borderId="9" xfId="0" applyFont="1" applyBorder="1" applyAlignment="1">
      <alignment horizontal="center" vertical="top" wrapText="1"/>
    </xf>
    <xf numFmtId="0" fontId="17" fillId="0" borderId="15" xfId="0" applyFont="1" applyBorder="1" applyAlignment="1">
      <alignment horizontal="center" vertical="top" wrapText="1"/>
    </xf>
    <xf numFmtId="0" fontId="14" fillId="0" borderId="0" xfId="0" applyFont="1" applyBorder="1" applyAlignment="1">
      <alignment horizontal="left" vertical="top"/>
    </xf>
    <xf numFmtId="0" fontId="18" fillId="0" borderId="0" xfId="0" applyNumberFormat="1" applyFont="1" applyFill="1" applyBorder="1" applyAlignment="1">
      <alignment horizontal="left" vertical="top"/>
    </xf>
    <xf numFmtId="3" fontId="14" fillId="0" borderId="0" xfId="1" applyFont="1" applyFill="1" applyBorder="1" applyAlignment="1" applyProtection="1">
      <alignment horizontal="left" vertical="top"/>
    </xf>
    <xf numFmtId="0" fontId="14" fillId="0" borderId="0" xfId="0" applyFont="1" applyFill="1" applyBorder="1" applyAlignment="1">
      <alignment horizontal="left" vertical="top"/>
    </xf>
    <xf numFmtId="0" fontId="14" fillId="10" borderId="17" xfId="0" applyFont="1" applyFill="1" applyBorder="1" applyAlignment="1">
      <alignment horizontal="left" vertical="top"/>
    </xf>
    <xf numFmtId="0" fontId="18" fillId="10" borderId="18" xfId="0" applyNumberFormat="1" applyFont="1" applyFill="1" applyBorder="1" applyAlignment="1">
      <alignment horizontal="left" vertical="top"/>
    </xf>
    <xf numFmtId="3" fontId="14" fillId="10" borderId="18" xfId="1" applyFont="1" applyFill="1" applyBorder="1" applyAlignment="1" applyProtection="1">
      <alignment horizontal="left" vertical="top"/>
    </xf>
    <xf numFmtId="0" fontId="14" fillId="10" borderId="18" xfId="0" applyFont="1" applyFill="1" applyBorder="1" applyAlignment="1">
      <alignment horizontal="left" vertical="top"/>
    </xf>
    <xf numFmtId="0" fontId="18" fillId="11" borderId="19" xfId="0" applyNumberFormat="1" applyFont="1" applyFill="1" applyBorder="1" applyAlignment="1">
      <alignment horizontal="left" vertical="top"/>
    </xf>
    <xf numFmtId="0" fontId="14" fillId="10" borderId="20" xfId="0" applyFont="1" applyFill="1" applyBorder="1" applyAlignment="1">
      <alignment horizontal="left" vertical="top"/>
    </xf>
    <xf numFmtId="0" fontId="18" fillId="10" borderId="0" xfId="0" applyNumberFormat="1" applyFont="1" applyFill="1" applyBorder="1" applyAlignment="1">
      <alignment horizontal="left" vertical="top"/>
    </xf>
    <xf numFmtId="3" fontId="14" fillId="10" borderId="0" xfId="1" applyFont="1" applyFill="1" applyBorder="1" applyAlignment="1" applyProtection="1">
      <alignment horizontal="left" vertical="top"/>
    </xf>
    <xf numFmtId="0" fontId="14" fillId="10" borderId="0" xfId="0" applyFont="1" applyFill="1" applyBorder="1" applyAlignment="1">
      <alignment horizontal="left" vertical="top"/>
    </xf>
    <xf numFmtId="0" fontId="18" fillId="11" borderId="21" xfId="0" applyNumberFormat="1" applyFont="1" applyFill="1" applyBorder="1" applyAlignment="1">
      <alignment horizontal="left" vertical="top"/>
    </xf>
    <xf numFmtId="0" fontId="19" fillId="0" borderId="0" xfId="0" applyNumberFormat="1" applyFont="1" applyFill="1" applyBorder="1" applyAlignment="1">
      <alignment horizontal="left" vertical="top"/>
    </xf>
    <xf numFmtId="166" fontId="14" fillId="0" borderId="0" xfId="0" applyNumberFormat="1" applyFont="1" applyFill="1" applyBorder="1" applyAlignment="1">
      <alignment horizontal="left" vertical="top"/>
    </xf>
    <xf numFmtId="166" fontId="14" fillId="10" borderId="22" xfId="0" applyNumberFormat="1" applyFont="1" applyFill="1" applyBorder="1" applyAlignment="1">
      <alignment horizontal="left" vertical="top"/>
    </xf>
    <xf numFmtId="0" fontId="18" fillId="10" borderId="23" xfId="0" applyNumberFormat="1" applyFont="1" applyFill="1" applyBorder="1" applyAlignment="1">
      <alignment horizontal="left" vertical="top"/>
    </xf>
    <xf numFmtId="3" fontId="14" fillId="10" borderId="23" xfId="1" applyFont="1" applyFill="1" applyBorder="1" applyAlignment="1" applyProtection="1">
      <alignment horizontal="left" vertical="top"/>
    </xf>
    <xf numFmtId="0" fontId="14" fillId="10" borderId="23" xfId="0" applyFont="1" applyFill="1" applyBorder="1" applyAlignment="1">
      <alignment horizontal="left" vertical="top"/>
    </xf>
    <xf numFmtId="0" fontId="18" fillId="11" borderId="24" xfId="0" applyNumberFormat="1" applyFont="1" applyFill="1" applyBorder="1" applyAlignment="1">
      <alignment horizontal="left" vertical="top"/>
    </xf>
    <xf numFmtId="0" fontId="20" fillId="0" borderId="0" xfId="0" applyNumberFormat="1" applyFont="1" applyFill="1" applyBorder="1" applyAlignment="1">
      <alignment vertical="top"/>
    </xf>
    <xf numFmtId="0" fontId="18" fillId="12" borderId="27" xfId="0" applyNumberFormat="1" applyFont="1" applyFill="1" applyBorder="1" applyAlignment="1">
      <alignment horizontal="right" vertical="top"/>
    </xf>
    <xf numFmtId="168" fontId="14" fillId="12" borderId="27" xfId="0" applyNumberFormat="1" applyFont="1" applyFill="1" applyBorder="1" applyAlignment="1">
      <alignment horizontal="right" vertical="top"/>
    </xf>
    <xf numFmtId="169" fontId="21" fillId="0" borderId="0" xfId="0" applyNumberFormat="1" applyFont="1" applyFill="1" applyBorder="1" applyAlignment="1">
      <alignment horizontal="left" vertical="top"/>
    </xf>
    <xf numFmtId="0" fontId="18" fillId="0" borderId="0" xfId="0" applyNumberFormat="1" applyFont="1" applyFill="1" applyBorder="1" applyAlignment="1">
      <alignment vertical="top" wrapText="1"/>
    </xf>
    <xf numFmtId="0" fontId="18" fillId="0" borderId="27" xfId="0" applyNumberFormat="1" applyFont="1" applyFill="1" applyBorder="1" applyAlignment="1">
      <alignment vertical="top" wrapText="1"/>
    </xf>
    <xf numFmtId="0" fontId="14" fillId="0" borderId="27" xfId="0" applyNumberFormat="1" applyFont="1" applyFill="1" applyBorder="1" applyAlignment="1">
      <alignment horizontal="left" vertical="top" wrapText="1"/>
    </xf>
    <xf numFmtId="3" fontId="14" fillId="0" borderId="27" xfId="1" applyFont="1" applyFill="1" applyBorder="1" applyAlignment="1" applyProtection="1">
      <alignment horizontal="right" vertical="top" wrapText="1"/>
    </xf>
    <xf numFmtId="4" fontId="14" fillId="0" borderId="27" xfId="1" applyNumberFormat="1" applyFont="1" applyFill="1" applyBorder="1" applyAlignment="1" applyProtection="1">
      <alignment horizontal="right" vertical="top" wrapText="1"/>
    </xf>
    <xf numFmtId="169" fontId="18" fillId="0" borderId="0" xfId="0" applyNumberFormat="1" applyFont="1" applyFill="1" applyBorder="1" applyAlignment="1">
      <alignment horizontal="left" vertical="top" wrapText="1"/>
    </xf>
    <xf numFmtId="39" fontId="15" fillId="12" borderId="27" xfId="0" applyNumberFormat="1" applyFont="1" applyFill="1" applyBorder="1" applyAlignment="1">
      <alignment horizontal="right" vertical="top"/>
    </xf>
    <xf numFmtId="3" fontId="14" fillId="0" borderId="27" xfId="1" applyNumberFormat="1" applyFont="1" applyFill="1" applyBorder="1" applyAlignment="1" applyProtection="1">
      <alignment horizontal="right" vertical="top" wrapText="1"/>
    </xf>
    <xf numFmtId="0" fontId="15" fillId="13" borderId="25" xfId="0" applyFont="1" applyFill="1" applyBorder="1">
      <alignment horizontal="left" vertical="center" wrapText="1"/>
    </xf>
    <xf numFmtId="0" fontId="14" fillId="13" borderId="28" xfId="0" applyFont="1" applyFill="1" applyBorder="1">
      <alignment horizontal="left" vertical="center" wrapText="1"/>
    </xf>
    <xf numFmtId="39" fontId="15" fillId="13" borderId="26" xfId="0" applyNumberFormat="1" applyFont="1" applyFill="1" applyBorder="1" applyAlignment="1">
      <alignment horizontal="right" vertical="center" wrapText="1"/>
    </xf>
    <xf numFmtId="37" fontId="15" fillId="12" borderId="27" xfId="0" applyNumberFormat="1" applyFont="1" applyFill="1" applyBorder="1" applyAlignment="1">
      <alignment horizontal="right" vertical="top"/>
    </xf>
    <xf numFmtId="0" fontId="14" fillId="0" borderId="0" xfId="0" applyFont="1" applyFill="1" applyAlignment="1">
      <alignment horizontal="left" vertical="center"/>
    </xf>
    <xf numFmtId="0" fontId="22" fillId="0" borderId="0" xfId="22" applyNumberFormat="1" applyFont="1">
      <alignment horizontal="left" wrapText="1"/>
    </xf>
    <xf numFmtId="0" fontId="0" fillId="6" borderId="0" xfId="0" applyFont="1" applyFill="1">
      <alignment horizontal="left" vertical="center" wrapText="1"/>
    </xf>
    <xf numFmtId="0" fontId="0" fillId="9" borderId="32" xfId="0" applyFont="1" applyFill="1" applyBorder="1">
      <alignment horizontal="left" vertical="center" wrapText="1"/>
    </xf>
    <xf numFmtId="0" fontId="0" fillId="9" borderId="30" xfId="0" applyFont="1" applyFill="1" applyBorder="1">
      <alignment horizontal="left" vertical="center" wrapText="1"/>
    </xf>
    <xf numFmtId="0" fontId="0" fillId="9" borderId="33" xfId="0" applyFont="1" applyFill="1" applyBorder="1">
      <alignment horizontal="left" vertical="center" wrapText="1"/>
    </xf>
    <xf numFmtId="0" fontId="0" fillId="9" borderId="0" xfId="0" applyFont="1" applyFill="1" applyBorder="1">
      <alignment horizontal="left" vertical="center" wrapText="1"/>
    </xf>
    <xf numFmtId="0" fontId="0" fillId="9" borderId="34" xfId="0" applyFont="1" applyFill="1" applyBorder="1">
      <alignment horizontal="left" vertical="center" wrapText="1"/>
    </xf>
    <xf numFmtId="0" fontId="0" fillId="9" borderId="35" xfId="0" applyFont="1" applyFill="1" applyBorder="1">
      <alignment horizontal="left" vertical="center" wrapText="1"/>
    </xf>
    <xf numFmtId="0" fontId="0" fillId="9" borderId="31" xfId="0" applyFont="1" applyFill="1" applyBorder="1">
      <alignment horizontal="left" vertical="center" wrapText="1"/>
    </xf>
    <xf numFmtId="0" fontId="0" fillId="9" borderId="36" xfId="0" applyFont="1" applyFill="1" applyBorder="1">
      <alignment horizontal="left" vertical="center" wrapText="1"/>
    </xf>
    <xf numFmtId="165" fontId="0" fillId="5" borderId="3" xfId="0" applyNumberFormat="1" applyFont="1" applyFill="1" applyBorder="1">
      <alignment horizontal="left" vertical="center" wrapText="1"/>
    </xf>
    <xf numFmtId="0" fontId="0" fillId="5" borderId="3" xfId="0" applyFont="1" applyFill="1" applyBorder="1">
      <alignment horizontal="left" vertical="center" wrapText="1"/>
    </xf>
    <xf numFmtId="165" fontId="0" fillId="7" borderId="3" xfId="0" applyNumberFormat="1" applyFont="1" applyFill="1" applyBorder="1">
      <alignment horizontal="left" vertical="center" wrapText="1"/>
    </xf>
    <xf numFmtId="0" fontId="19" fillId="14" borderId="0" xfId="0" applyNumberFormat="1" applyFont="1" applyFill="1" applyBorder="1" applyAlignment="1">
      <alignment horizontal="left" vertical="top"/>
    </xf>
    <xf numFmtId="0" fontId="14" fillId="14" borderId="0" xfId="0" applyFont="1" applyFill="1" applyBorder="1" applyAlignment="1">
      <alignment horizontal="left" vertical="top"/>
    </xf>
    <xf numFmtId="0" fontId="14" fillId="15" borderId="0" xfId="0" applyFont="1" applyFill="1">
      <alignment horizontal="left" vertical="center" wrapText="1"/>
    </xf>
    <xf numFmtId="169" fontId="21" fillId="16" borderId="37" xfId="0" applyNumberFormat="1" applyFont="1" applyFill="1" applyBorder="1" applyAlignment="1">
      <alignment horizontal="left" vertical="top"/>
    </xf>
    <xf numFmtId="169" fontId="24" fillId="14" borderId="37" xfId="0" applyNumberFormat="1" applyFont="1" applyFill="1" applyBorder="1" applyAlignment="1">
      <alignment horizontal="left" vertical="top"/>
    </xf>
    <xf numFmtId="170" fontId="14" fillId="14" borderId="37" xfId="0" applyNumberFormat="1" applyFont="1" applyFill="1" applyBorder="1" applyAlignment="1">
      <alignment horizontal="left" vertical="top"/>
    </xf>
    <xf numFmtId="171" fontId="14" fillId="14" borderId="37" xfId="0" applyNumberFormat="1" applyFont="1" applyFill="1" applyBorder="1" applyAlignment="1">
      <alignment horizontal="left" vertical="top"/>
    </xf>
    <xf numFmtId="172" fontId="14" fillId="14" borderId="37" xfId="0" applyNumberFormat="1" applyFont="1" applyFill="1" applyBorder="1" applyAlignment="1">
      <alignment horizontal="left" vertical="top"/>
    </xf>
    <xf numFmtId="170" fontId="14" fillId="15" borderId="37" xfId="0" applyNumberFormat="1" applyFont="1" applyFill="1" applyBorder="1" applyAlignment="1">
      <alignment horizontal="left" vertical="top" wrapText="1"/>
    </xf>
    <xf numFmtId="170" fontId="14" fillId="14" borderId="38" xfId="0" applyNumberFormat="1" applyFont="1" applyFill="1" applyBorder="1" applyAlignment="1">
      <alignment horizontal="left" vertical="top"/>
    </xf>
    <xf numFmtId="171" fontId="14" fillId="14" borderId="38" xfId="0" applyNumberFormat="1" applyFont="1" applyFill="1" applyBorder="1" applyAlignment="1">
      <alignment horizontal="left" vertical="top"/>
    </xf>
    <xf numFmtId="172" fontId="14" fillId="14" borderId="38" xfId="0" applyNumberFormat="1" applyFont="1" applyFill="1" applyBorder="1" applyAlignment="1">
      <alignment horizontal="left" vertical="top"/>
    </xf>
    <xf numFmtId="170" fontId="14" fillId="15" borderId="38" xfId="0" applyNumberFormat="1" applyFont="1" applyFill="1" applyBorder="1" applyAlignment="1">
      <alignment horizontal="left" vertical="top" wrapText="1"/>
    </xf>
    <xf numFmtId="0" fontId="14" fillId="16" borderId="3" xfId="0" applyFont="1" applyFill="1" applyBorder="1" applyAlignment="1">
      <alignment horizontal="left" vertical="top"/>
    </xf>
    <xf numFmtId="169" fontId="14" fillId="16" borderId="3" xfId="0" applyNumberFormat="1" applyFont="1" applyFill="1" applyBorder="1" applyAlignment="1">
      <alignment horizontal="left" vertical="top"/>
    </xf>
    <xf numFmtId="0" fontId="14" fillId="17" borderId="3" xfId="0" applyFont="1" applyFill="1" applyBorder="1">
      <alignment horizontal="left" vertical="center" wrapText="1"/>
    </xf>
    <xf numFmtId="0" fontId="0" fillId="0" borderId="0" xfId="0" applyAlignment="1">
      <alignment vertical="center" wrapText="1"/>
    </xf>
    <xf numFmtId="4" fontId="0" fillId="18" borderId="0" xfId="0" applyNumberFormat="1" applyFont="1" applyFill="1">
      <alignment horizontal="left" vertical="center" wrapText="1"/>
    </xf>
    <xf numFmtId="0" fontId="0" fillId="18" borderId="0" xfId="0" applyFont="1" applyFill="1">
      <alignment horizontal="left" vertical="center" wrapText="1"/>
    </xf>
    <xf numFmtId="0" fontId="0" fillId="18" borderId="0" xfId="0" applyFont="1" applyFill="1" applyBorder="1">
      <alignment horizontal="left" vertical="center" wrapText="1"/>
    </xf>
    <xf numFmtId="0" fontId="0" fillId="18" borderId="0" xfId="0" applyFont="1" applyFill="1" applyAlignment="1">
      <alignment horizontal="left" vertical="center"/>
    </xf>
    <xf numFmtId="14" fontId="5" fillId="3" borderId="0" xfId="0" applyNumberFormat="1" applyFont="1" applyFill="1">
      <alignment horizontal="left" vertical="center" wrapText="1"/>
    </xf>
    <xf numFmtId="0" fontId="0" fillId="3" borderId="1" xfId="0" applyFont="1" applyFill="1" applyBorder="1">
      <alignment horizontal="left" vertical="center" wrapText="1"/>
    </xf>
    <xf numFmtId="0" fontId="25" fillId="9" borderId="29" xfId="0" applyFont="1" applyFill="1" applyBorder="1">
      <alignment horizontal="left" vertical="center" wrapText="1"/>
    </xf>
    <xf numFmtId="0" fontId="14" fillId="0" borderId="0" xfId="0" applyNumberFormat="1" applyFont="1" applyAlignment="1">
      <alignment horizontal="left" vertical="top" wrapText="1"/>
    </xf>
    <xf numFmtId="0" fontId="14" fillId="0" borderId="0" xfId="0" applyNumberFormat="1" applyFont="1" applyAlignment="1">
      <alignment horizontal="left" vertical="top" wrapText="1"/>
    </xf>
    <xf numFmtId="0" fontId="27" fillId="0" borderId="0" xfId="0" applyFont="1">
      <alignment horizontal="left" vertical="center" wrapText="1"/>
    </xf>
    <xf numFmtId="0" fontId="28" fillId="0" borderId="0" xfId="0" applyNumberFormat="1" applyFont="1" applyFill="1" applyBorder="1" applyAlignment="1" applyProtection="1">
      <alignment horizontal="right" vertical="center" indent="1"/>
    </xf>
    <xf numFmtId="165" fontId="27" fillId="0" borderId="0" xfId="0" applyNumberFormat="1" applyFont="1" applyAlignment="1">
      <alignment horizontal="right" vertical="center"/>
    </xf>
    <xf numFmtId="0" fontId="14" fillId="0" borderId="0" xfId="0" applyNumberFormat="1" applyFont="1" applyAlignment="1">
      <alignment horizontal="left" vertical="top" wrapText="1"/>
    </xf>
    <xf numFmtId="0" fontId="16" fillId="0" borderId="27" xfId="0" applyNumberFormat="1" applyFont="1" applyFill="1" applyBorder="1" applyAlignment="1">
      <alignment horizontal="left" vertical="top" wrapText="1"/>
    </xf>
    <xf numFmtId="0" fontId="29" fillId="0" borderId="27" xfId="0" applyNumberFormat="1" applyFont="1" applyFill="1" applyBorder="1" applyAlignment="1">
      <alignment vertical="top" wrapText="1"/>
    </xf>
    <xf numFmtId="3" fontId="16" fillId="0" borderId="27" xfId="1" applyFont="1" applyFill="1" applyBorder="1" applyAlignment="1" applyProtection="1">
      <alignment horizontal="right" vertical="top" wrapText="1"/>
    </xf>
    <xf numFmtId="4" fontId="16" fillId="0" borderId="27" xfId="1" applyNumberFormat="1" applyFont="1" applyFill="1" applyBorder="1" applyAlignment="1" applyProtection="1">
      <alignment horizontal="right" vertical="top" wrapText="1"/>
    </xf>
    <xf numFmtId="0" fontId="29" fillId="0" borderId="0" xfId="0" applyNumberFormat="1" applyFont="1" applyFill="1" applyBorder="1" applyAlignment="1">
      <alignment vertical="top" wrapText="1"/>
    </xf>
    <xf numFmtId="0" fontId="18" fillId="2" borderId="0" xfId="0" applyNumberFormat="1" applyFont="1" applyFill="1" applyBorder="1" applyAlignment="1">
      <alignment vertical="top" wrapText="1"/>
    </xf>
    <xf numFmtId="169" fontId="18" fillId="2" borderId="0" xfId="0" applyNumberFormat="1" applyFont="1" applyFill="1" applyBorder="1" applyAlignment="1">
      <alignment horizontal="left" vertical="top" wrapText="1"/>
    </xf>
    <xf numFmtId="0" fontId="14" fillId="2" borderId="0" xfId="0" applyFont="1" applyFill="1">
      <alignment horizontal="left" vertical="center" wrapText="1"/>
    </xf>
    <xf numFmtId="0" fontId="0" fillId="2" borderId="0" xfId="0" applyFill="1">
      <alignment horizontal="left" vertical="center" wrapText="1"/>
    </xf>
    <xf numFmtId="0" fontId="18" fillId="0" borderId="25" xfId="0" applyNumberFormat="1" applyFont="1" applyFill="1" applyBorder="1" applyAlignment="1">
      <alignment horizontal="right" vertical="top" wrapText="1"/>
    </xf>
    <xf numFmtId="0" fontId="18" fillId="0" borderId="28" xfId="0" applyNumberFormat="1" applyFont="1" applyFill="1" applyBorder="1" applyAlignment="1">
      <alignment horizontal="right" vertical="top" wrapText="1"/>
    </xf>
    <xf numFmtId="0" fontId="18" fillId="0" borderId="26" xfId="0" applyNumberFormat="1" applyFont="1" applyFill="1" applyBorder="1" applyAlignment="1">
      <alignment horizontal="right" vertical="top" wrapText="1"/>
    </xf>
    <xf numFmtId="39" fontId="15" fillId="0" borderId="27" xfId="0" applyNumberFormat="1" applyFont="1" applyFill="1" applyBorder="1" applyAlignment="1">
      <alignment horizontal="right" vertical="top"/>
    </xf>
    <xf numFmtId="169" fontId="14" fillId="0" borderId="0" xfId="0" applyNumberFormat="1" applyFont="1" applyFill="1" applyBorder="1" applyAlignment="1">
      <alignment horizontal="left" vertical="top"/>
    </xf>
    <xf numFmtId="0" fontId="14" fillId="0" borderId="0" xfId="0" applyFont="1" applyFill="1" applyBorder="1">
      <alignment horizontal="left" vertical="center" wrapText="1"/>
    </xf>
    <xf numFmtId="0" fontId="0" fillId="0" borderId="0" xfId="0" applyFill="1">
      <alignment horizontal="left" vertical="center" wrapText="1"/>
    </xf>
    <xf numFmtId="0" fontId="18" fillId="12" borderId="27" xfId="0" applyNumberFormat="1" applyFont="1" applyFill="1" applyBorder="1" applyAlignment="1">
      <alignment horizontal="center" vertical="top"/>
    </xf>
    <xf numFmtId="168" fontId="14" fillId="12" borderId="27" xfId="0" applyNumberFormat="1" applyFont="1" applyFill="1" applyBorder="1" applyAlignment="1">
      <alignment horizontal="center" vertical="top"/>
    </xf>
    <xf numFmtId="3" fontId="16" fillId="0" borderId="27" xfId="1" applyFont="1" applyFill="1" applyBorder="1" applyAlignment="1" applyProtection="1">
      <alignment horizontal="center" vertical="top" wrapText="1"/>
    </xf>
    <xf numFmtId="3" fontId="14" fillId="0" borderId="27" xfId="1" applyFont="1" applyFill="1" applyBorder="1" applyAlignment="1" applyProtection="1">
      <alignment horizontal="center" vertical="top" wrapText="1"/>
    </xf>
    <xf numFmtId="0" fontId="18" fillId="0" borderId="25" xfId="0" applyNumberFormat="1" applyFont="1" applyFill="1" applyBorder="1" applyAlignment="1">
      <alignment vertical="top" wrapText="1"/>
    </xf>
    <xf numFmtId="0" fontId="18" fillId="0" borderId="28" xfId="0" applyNumberFormat="1" applyFont="1" applyFill="1" applyBorder="1" applyAlignment="1">
      <alignment vertical="top" wrapText="1"/>
    </xf>
    <xf numFmtId="0" fontId="18" fillId="0" borderId="28" xfId="0" applyNumberFormat="1" applyFont="1" applyFill="1" applyBorder="1" applyAlignment="1">
      <alignment horizontal="center" vertical="top" wrapText="1"/>
    </xf>
    <xf numFmtId="0" fontId="18" fillId="0" borderId="26" xfId="0" applyNumberFormat="1" applyFont="1" applyFill="1" applyBorder="1" applyAlignment="1">
      <alignment horizontal="center" vertical="top" wrapText="1"/>
    </xf>
    <xf numFmtId="170" fontId="14" fillId="0" borderId="37" xfId="0" applyNumberFormat="1" applyFont="1" applyFill="1" applyBorder="1" applyAlignment="1">
      <alignment horizontal="left" vertical="top"/>
    </xf>
    <xf numFmtId="171" fontId="14" fillId="0" borderId="37" xfId="0" applyNumberFormat="1" applyFont="1" applyFill="1" applyBorder="1" applyAlignment="1">
      <alignment horizontal="left" vertical="top"/>
    </xf>
    <xf numFmtId="172" fontId="14" fillId="0" borderId="37" xfId="0" applyNumberFormat="1" applyFont="1" applyFill="1" applyBorder="1" applyAlignment="1">
      <alignment horizontal="left" vertical="top"/>
    </xf>
    <xf numFmtId="170" fontId="14" fillId="0" borderId="37" xfId="0" applyNumberFormat="1" applyFont="1" applyFill="1" applyBorder="1" applyAlignment="1">
      <alignment horizontal="left" vertical="top" wrapText="1"/>
    </xf>
    <xf numFmtId="0" fontId="14" fillId="11" borderId="3" xfId="0" applyFont="1" applyFill="1" applyBorder="1" applyAlignment="1">
      <alignment horizontal="left" vertical="top"/>
    </xf>
    <xf numFmtId="169" fontId="14" fillId="11" borderId="3" xfId="0" applyNumberFormat="1" applyFont="1" applyFill="1" applyBorder="1" applyAlignment="1">
      <alignment horizontal="left" vertical="top"/>
    </xf>
    <xf numFmtId="0" fontId="14" fillId="2" borderId="3" xfId="0" applyFont="1" applyFill="1" applyBorder="1">
      <alignment horizontal="left" vertical="center" wrapText="1"/>
    </xf>
    <xf numFmtId="39" fontId="14" fillId="0" borderId="0" xfId="0" applyNumberFormat="1" applyFont="1">
      <alignment horizontal="left" vertical="center" wrapText="1"/>
    </xf>
    <xf numFmtId="173" fontId="15" fillId="13" borderId="26" xfId="0" applyNumberFormat="1" applyFont="1" applyFill="1" applyBorder="1" applyAlignment="1">
      <alignment horizontal="right" vertical="center" wrapText="1"/>
    </xf>
    <xf numFmtId="165" fontId="0" fillId="5" borderId="3" xfId="0" applyNumberFormat="1" applyFont="1" applyFill="1" applyBorder="1" applyAlignment="1">
      <alignment horizontal="center" vertical="center" wrapText="1"/>
    </xf>
    <xf numFmtId="0" fontId="14" fillId="0" borderId="0" xfId="0" applyNumberFormat="1" applyFont="1" applyFill="1" applyBorder="1" applyAlignment="1" applyProtection="1">
      <alignment horizontal="right" vertical="center" indent="1"/>
    </xf>
    <xf numFmtId="0" fontId="29" fillId="12" borderId="25" xfId="0" applyNumberFormat="1" applyFont="1" applyFill="1" applyBorder="1" applyAlignment="1">
      <alignment vertical="top" wrapText="1"/>
    </xf>
    <xf numFmtId="0" fontId="29" fillId="12" borderId="28" xfId="0" applyNumberFormat="1" applyFont="1" applyFill="1" applyBorder="1" applyAlignment="1">
      <alignment vertical="top" wrapText="1"/>
    </xf>
    <xf numFmtId="39" fontId="31" fillId="12" borderId="27" xfId="0" applyNumberFormat="1" applyFont="1" applyFill="1" applyBorder="1" applyAlignment="1">
      <alignment horizontal="right" vertical="top"/>
    </xf>
    <xf numFmtId="169" fontId="29" fillId="0" borderId="0" xfId="0" applyNumberFormat="1" applyFont="1" applyFill="1" applyBorder="1" applyAlignment="1">
      <alignment horizontal="left" vertical="top" wrapText="1"/>
    </xf>
    <xf numFmtId="0" fontId="16" fillId="16" borderId="3" xfId="0" applyFont="1" applyFill="1" applyBorder="1" applyAlignment="1">
      <alignment horizontal="left" vertical="top"/>
    </xf>
    <xf numFmtId="169" fontId="16" fillId="16" borderId="3" xfId="0" applyNumberFormat="1" applyFont="1" applyFill="1" applyBorder="1" applyAlignment="1">
      <alignment horizontal="left" vertical="top"/>
    </xf>
    <xf numFmtId="0" fontId="16" fillId="17" borderId="3" xfId="0" applyFont="1" applyFill="1" applyBorder="1">
      <alignment horizontal="left" vertical="center" wrapText="1"/>
    </xf>
    <xf numFmtId="0" fontId="32" fillId="0" borderId="0" xfId="0" applyFont="1">
      <alignment horizontal="left" vertical="center" wrapText="1"/>
    </xf>
    <xf numFmtId="170" fontId="16" fillId="14" borderId="37" xfId="0" applyNumberFormat="1" applyFont="1" applyFill="1" applyBorder="1" applyAlignment="1">
      <alignment horizontal="left" vertical="top"/>
    </xf>
    <xf numFmtId="171" fontId="16" fillId="14" borderId="37" xfId="0" applyNumberFormat="1" applyFont="1" applyFill="1" applyBorder="1" applyAlignment="1">
      <alignment horizontal="left" vertical="top"/>
    </xf>
    <xf numFmtId="172" fontId="16" fillId="14" borderId="37" xfId="0" applyNumberFormat="1" applyFont="1" applyFill="1" applyBorder="1" applyAlignment="1">
      <alignment horizontal="left" vertical="top"/>
    </xf>
    <xf numFmtId="170" fontId="16" fillId="15" borderId="37" xfId="0" applyNumberFormat="1" applyFont="1" applyFill="1" applyBorder="1" applyAlignment="1">
      <alignment horizontal="left" vertical="top" wrapText="1"/>
    </xf>
    <xf numFmtId="0" fontId="0" fillId="0" borderId="0" xfId="0" applyFont="1">
      <alignment horizontal="left" vertical="center" wrapText="1"/>
    </xf>
    <xf numFmtId="0" fontId="14" fillId="0" borderId="0" xfId="0" applyFont="1" applyBorder="1">
      <alignment horizontal="left" vertical="center" wrapText="1"/>
    </xf>
    <xf numFmtId="0" fontId="17" fillId="0" borderId="0" xfId="0" applyFont="1" applyBorder="1" applyAlignment="1">
      <alignment horizontal="center" vertical="top" wrapText="1"/>
    </xf>
    <xf numFmtId="0" fontId="16" fillId="0" borderId="0" xfId="0" applyFont="1" applyBorder="1" applyAlignment="1">
      <alignment horizontal="center" vertical="top" wrapText="1"/>
    </xf>
    <xf numFmtId="0" fontId="14" fillId="0" borderId="0" xfId="0" applyNumberFormat="1" applyFont="1" applyAlignment="1">
      <alignment horizontal="left" vertical="top" wrapText="1"/>
    </xf>
    <xf numFmtId="0" fontId="18" fillId="0" borderId="26" xfId="0" applyNumberFormat="1" applyFont="1" applyFill="1" applyBorder="1" applyAlignment="1">
      <alignment horizontal="left" vertical="top" wrapText="1"/>
    </xf>
    <xf numFmtId="0" fontId="18" fillId="0" borderId="28" xfId="0" applyNumberFormat="1" applyFont="1" applyFill="1" applyBorder="1" applyAlignment="1">
      <alignment horizontal="left" vertical="top" wrapText="1"/>
    </xf>
    <xf numFmtId="0" fontId="18" fillId="12" borderId="0" xfId="0" applyNumberFormat="1" applyFont="1" applyFill="1" applyBorder="1" applyAlignment="1">
      <alignment horizontal="right" vertical="top" wrapText="1"/>
    </xf>
    <xf numFmtId="39" fontId="15" fillId="12" borderId="0" xfId="0" applyNumberFormat="1" applyFont="1" applyFill="1" applyBorder="1" applyAlignment="1">
      <alignment horizontal="right" vertical="top"/>
    </xf>
    <xf numFmtId="0" fontId="14" fillId="16" borderId="0" xfId="0" applyFont="1" applyFill="1" applyBorder="1" applyAlignment="1">
      <alignment horizontal="left" vertical="top"/>
    </xf>
    <xf numFmtId="169" fontId="14" fillId="16" borderId="0" xfId="0" applyNumberFormat="1" applyFont="1" applyFill="1" applyBorder="1" applyAlignment="1">
      <alignment horizontal="left" vertical="top"/>
    </xf>
    <xf numFmtId="0" fontId="14" fillId="17" borderId="0" xfId="0" applyFont="1" applyFill="1" applyBorder="1">
      <alignment horizontal="left" vertical="center" wrapText="1"/>
    </xf>
    <xf numFmtId="0" fontId="18" fillId="0" borderId="0" xfId="0" applyNumberFormat="1" applyFont="1" applyFill="1" applyBorder="1" applyAlignment="1">
      <alignment horizontal="right" vertical="top" wrapText="1"/>
    </xf>
    <xf numFmtId="39" fontId="15" fillId="0" borderId="0" xfId="0" applyNumberFormat="1" applyFont="1" applyFill="1" applyBorder="1" applyAlignment="1">
      <alignment horizontal="right" vertical="top"/>
    </xf>
    <xf numFmtId="170" fontId="14" fillId="14" borderId="0" xfId="0" applyNumberFormat="1" applyFont="1" applyFill="1" applyBorder="1" applyAlignment="1">
      <alignment horizontal="left" vertical="top"/>
    </xf>
    <xf numFmtId="171" fontId="14" fillId="14" borderId="0" xfId="0" applyNumberFormat="1" applyFont="1" applyFill="1" applyBorder="1" applyAlignment="1">
      <alignment horizontal="left" vertical="top"/>
    </xf>
    <xf numFmtId="172" fontId="14" fillId="14" borderId="0" xfId="0" applyNumberFormat="1" applyFont="1" applyFill="1" applyBorder="1" applyAlignment="1">
      <alignment horizontal="left" vertical="top"/>
    </xf>
    <xf numFmtId="170" fontId="14" fillId="15" borderId="0" xfId="0" applyNumberFormat="1" applyFont="1" applyFill="1" applyBorder="1" applyAlignment="1">
      <alignment horizontal="left" vertical="top" wrapText="1"/>
    </xf>
    <xf numFmtId="0" fontId="33" fillId="0" borderId="25" xfId="0" applyNumberFormat="1" applyFont="1" applyFill="1" applyBorder="1" applyAlignment="1">
      <alignment horizontal="left" vertical="top"/>
    </xf>
    <xf numFmtId="0" fontId="33" fillId="0" borderId="28" xfId="0" applyNumberFormat="1" applyFont="1" applyFill="1" applyBorder="1" applyAlignment="1">
      <alignment horizontal="left" vertical="top" wrapText="1"/>
    </xf>
    <xf numFmtId="170" fontId="14" fillId="14" borderId="3" xfId="0" applyNumberFormat="1" applyFont="1" applyFill="1" applyBorder="1" applyAlignment="1">
      <alignment horizontal="left" vertical="top"/>
    </xf>
    <xf numFmtId="171" fontId="14" fillId="14" borderId="3" xfId="0" applyNumberFormat="1" applyFont="1" applyFill="1" applyBorder="1" applyAlignment="1">
      <alignment horizontal="left" vertical="top"/>
    </xf>
    <xf numFmtId="172" fontId="14" fillId="14" borderId="3" xfId="0" applyNumberFormat="1" applyFont="1" applyFill="1" applyBorder="1" applyAlignment="1">
      <alignment horizontal="left" vertical="top"/>
    </xf>
    <xf numFmtId="170" fontId="14" fillId="15" borderId="3" xfId="0" applyNumberFormat="1" applyFont="1" applyFill="1" applyBorder="1" applyAlignment="1">
      <alignment horizontal="left" vertical="top" wrapText="1"/>
    </xf>
    <xf numFmtId="169" fontId="21" fillId="16" borderId="37" xfId="0" applyNumberFormat="1" applyFont="1" applyFill="1" applyBorder="1" applyAlignment="1">
      <alignment horizontal="center" vertical="top"/>
    </xf>
    <xf numFmtId="171" fontId="14" fillId="14" borderId="39" xfId="0" applyNumberFormat="1" applyFont="1" applyFill="1" applyBorder="1" applyAlignment="1">
      <alignment horizontal="left" vertical="top"/>
    </xf>
    <xf numFmtId="172" fontId="14" fillId="14" borderId="40" xfId="0" applyNumberFormat="1" applyFont="1" applyFill="1" applyBorder="1" applyAlignment="1">
      <alignment horizontal="left" vertical="top"/>
    </xf>
    <xf numFmtId="0" fontId="4" fillId="3" borderId="0" xfId="5" applyFill="1"/>
    <xf numFmtId="14" fontId="5" fillId="3" borderId="1" xfId="0" applyNumberFormat="1" applyFont="1" applyFill="1" applyBorder="1" applyAlignment="1">
      <alignment horizontal="center" vertical="center" wrapText="1"/>
    </xf>
    <xf numFmtId="0" fontId="2" fillId="3" borderId="0" xfId="4" applyFill="1" applyAlignment="1">
      <alignment horizontal="right"/>
    </xf>
    <xf numFmtId="0" fontId="0" fillId="3" borderId="0"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0" fillId="6" borderId="0" xfId="0" applyFont="1" applyFill="1" applyBorder="1" applyAlignment="1">
      <alignment horizontal="center" vertical="center"/>
    </xf>
    <xf numFmtId="0" fontId="0" fillId="5" borderId="3" xfId="0" applyFont="1" applyFill="1" applyBorder="1" applyAlignment="1">
      <alignment horizontal="center" vertical="center" wrapText="1"/>
    </xf>
    <xf numFmtId="0" fontId="26" fillId="18" borderId="0" xfId="0" applyFont="1" applyFill="1" applyAlignment="1">
      <alignment horizontal="center" vertical="center" wrapText="1"/>
    </xf>
    <xf numFmtId="0" fontId="13" fillId="0" borderId="0" xfId="5" applyFont="1" applyAlignment="1">
      <alignment horizontal="left"/>
    </xf>
    <xf numFmtId="164" fontId="14" fillId="0" borderId="0" xfId="13" applyFont="1">
      <alignment horizontal="left" vertical="top"/>
    </xf>
    <xf numFmtId="0" fontId="14" fillId="0" borderId="0" xfId="0" applyFont="1" applyAlignment="1">
      <alignment horizontal="left" vertical="center" wrapText="1"/>
    </xf>
    <xf numFmtId="0" fontId="0" fillId="6" borderId="0" xfId="0" applyFont="1" applyFill="1" applyBorder="1" applyAlignment="1">
      <alignment horizontal="center" vertical="center" wrapText="1"/>
    </xf>
    <xf numFmtId="0" fontId="5" fillId="9" borderId="3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34" xfId="0" applyFont="1" applyFill="1" applyBorder="1" applyAlignment="1">
      <alignment horizontal="center" vertical="center" wrapText="1"/>
    </xf>
    <xf numFmtId="0" fontId="23" fillId="0" borderId="0" xfId="0" applyFont="1" applyAlignment="1">
      <alignment horizontal="center" vertical="center" wrapText="1"/>
    </xf>
    <xf numFmtId="0" fontId="15" fillId="0" borderId="0" xfId="7" applyFont="1">
      <alignment vertical="top"/>
    </xf>
    <xf numFmtId="49" fontId="14" fillId="0" borderId="0" xfId="13" applyNumberFormat="1" applyFont="1" applyAlignment="1">
      <alignment horizontal="left" vertical="top"/>
    </xf>
    <xf numFmtId="0" fontId="14" fillId="0" borderId="0" xfId="0" applyNumberFormat="1" applyFont="1" applyAlignment="1">
      <alignment horizontal="left" vertical="top" wrapText="1"/>
    </xf>
    <xf numFmtId="0" fontId="14" fillId="0" borderId="0" xfId="22" applyNumberFormat="1" applyFont="1" applyAlignment="1">
      <alignment horizontal="left" vertical="top" wrapText="1"/>
    </xf>
    <xf numFmtId="0" fontId="15" fillId="0" borderId="0" xfId="7" applyFont="1" applyAlignment="1">
      <alignment horizontal="left" vertical="top"/>
    </xf>
    <xf numFmtId="0" fontId="16" fillId="0" borderId="11" xfId="0" applyFont="1" applyBorder="1" applyAlignment="1">
      <alignment horizontal="center" vertical="top" wrapText="1"/>
    </xf>
    <xf numFmtId="0" fontId="16" fillId="0" borderId="12" xfId="0" applyFont="1" applyBorder="1" applyAlignment="1">
      <alignment horizontal="center" vertical="top" wrapText="1"/>
    </xf>
    <xf numFmtId="0" fontId="16" fillId="0" borderId="13" xfId="0" applyFont="1" applyBorder="1" applyAlignment="1">
      <alignment horizontal="center" vertical="top" wrapText="1"/>
    </xf>
    <xf numFmtId="0" fontId="18" fillId="12" borderId="25" xfId="0" applyNumberFormat="1" applyFont="1" applyFill="1" applyBorder="1" applyAlignment="1">
      <alignment horizontal="left" vertical="top" wrapText="1"/>
    </xf>
    <xf numFmtId="0" fontId="18" fillId="12" borderId="26" xfId="0" applyNumberFormat="1" applyFont="1" applyFill="1" applyBorder="1" applyAlignment="1">
      <alignment horizontal="left" vertical="top" wrapText="1"/>
    </xf>
    <xf numFmtId="0" fontId="18" fillId="12" borderId="25" xfId="0" applyNumberFormat="1" applyFont="1" applyFill="1" applyBorder="1" applyAlignment="1">
      <alignment horizontal="right" vertical="top" wrapText="1"/>
    </xf>
    <xf numFmtId="0" fontId="18" fillId="12" borderId="28" xfId="0" applyNumberFormat="1" applyFont="1" applyFill="1" applyBorder="1" applyAlignment="1">
      <alignment horizontal="right" vertical="top" wrapText="1"/>
    </xf>
    <xf numFmtId="0" fontId="18" fillId="12" borderId="26" xfId="0" applyNumberFormat="1" applyFont="1" applyFill="1" applyBorder="1" applyAlignment="1">
      <alignment horizontal="right" vertical="top" wrapText="1"/>
    </xf>
    <xf numFmtId="0" fontId="18" fillId="0" borderId="25" xfId="0" applyNumberFormat="1" applyFont="1" applyFill="1" applyBorder="1" applyAlignment="1">
      <alignment horizontal="left" vertical="top" wrapText="1"/>
    </xf>
    <xf numFmtId="0" fontId="18" fillId="0" borderId="26" xfId="0" applyNumberFormat="1" applyFont="1" applyFill="1" applyBorder="1" applyAlignment="1">
      <alignment horizontal="left" vertical="top" wrapText="1"/>
    </xf>
    <xf numFmtId="0" fontId="18" fillId="12" borderId="28" xfId="0" applyNumberFormat="1" applyFont="1" applyFill="1" applyBorder="1" applyAlignment="1">
      <alignment horizontal="left" vertical="top" wrapText="1"/>
    </xf>
    <xf numFmtId="0" fontId="18" fillId="0" borderId="28" xfId="0" applyNumberFormat="1" applyFont="1" applyFill="1" applyBorder="1" applyAlignment="1">
      <alignment horizontal="left" vertical="top" wrapText="1"/>
    </xf>
    <xf numFmtId="0" fontId="0" fillId="6" borderId="3" xfId="0" applyFont="1" applyFill="1" applyBorder="1" applyAlignment="1">
      <alignment horizontal="center" vertical="center"/>
    </xf>
    <xf numFmtId="165" fontId="0" fillId="6" borderId="3" xfId="0" applyNumberFormat="1" applyFont="1" applyFill="1" applyBorder="1" applyAlignment="1">
      <alignment horizontal="center" vertical="center" wrapText="1"/>
    </xf>
    <xf numFmtId="0" fontId="0" fillId="6" borderId="3" xfId="0" applyFont="1" applyFill="1" applyBorder="1" applyAlignment="1">
      <alignment horizontal="center" vertical="center" wrapText="1"/>
    </xf>
    <xf numFmtId="0" fontId="15" fillId="13" borderId="25" xfId="0" applyFont="1" applyFill="1" applyBorder="1" applyAlignment="1">
      <alignment horizontal="right" vertical="center"/>
    </xf>
    <xf numFmtId="0" fontId="15" fillId="13" borderId="28" xfId="0" applyFont="1" applyFill="1" applyBorder="1" applyAlignment="1">
      <alignment horizontal="right" vertical="center"/>
    </xf>
    <xf numFmtId="0" fontId="29" fillId="12" borderId="28" xfId="0" applyNumberFormat="1" applyFont="1" applyFill="1" applyBorder="1" applyAlignment="1">
      <alignment horizontal="center" vertical="top" wrapText="1"/>
    </xf>
    <xf numFmtId="0" fontId="29" fillId="12" borderId="26" xfId="0" applyNumberFormat="1" applyFont="1" applyFill="1" applyBorder="1" applyAlignment="1">
      <alignment horizontal="center" vertical="top" wrapText="1"/>
    </xf>
    <xf numFmtId="0" fontId="29" fillId="0" borderId="25" xfId="0" applyNumberFormat="1" applyFont="1" applyFill="1" applyBorder="1" applyAlignment="1">
      <alignment horizontal="left" vertical="top" wrapText="1"/>
    </xf>
    <xf numFmtId="0" fontId="29" fillId="0" borderId="28" xfId="0" applyNumberFormat="1" applyFont="1" applyFill="1" applyBorder="1" applyAlignment="1">
      <alignment horizontal="left" vertical="top" wrapText="1"/>
    </xf>
    <xf numFmtId="0" fontId="29" fillId="0" borderId="26" xfId="0" applyNumberFormat="1" applyFont="1" applyFill="1" applyBorder="1" applyAlignment="1">
      <alignment horizontal="left" vertical="top" wrapText="1"/>
    </xf>
    <xf numFmtId="0" fontId="14" fillId="0" borderId="28" xfId="0" applyFont="1" applyBorder="1" applyAlignment="1">
      <alignment horizontal="center" vertical="center" wrapText="1"/>
    </xf>
    <xf numFmtId="0" fontId="18" fillId="12" borderId="28" xfId="0" applyNumberFormat="1" applyFont="1" applyFill="1" applyBorder="1" applyAlignment="1">
      <alignment horizontal="center" vertical="top" wrapText="1"/>
    </xf>
    <xf numFmtId="0" fontId="18" fillId="12" borderId="26" xfId="0" applyNumberFormat="1" applyFont="1" applyFill="1" applyBorder="1" applyAlignment="1">
      <alignment horizontal="center" vertical="top" wrapText="1"/>
    </xf>
    <xf numFmtId="0" fontId="15" fillId="13" borderId="25" xfId="0" applyFont="1" applyFill="1" applyBorder="1" applyAlignment="1">
      <alignment horizontal="right" vertical="center" wrapText="1"/>
    </xf>
    <xf numFmtId="0" fontId="15" fillId="13" borderId="28" xfId="0" applyFont="1" applyFill="1" applyBorder="1" applyAlignment="1">
      <alignment horizontal="right" vertical="center" wrapText="1"/>
    </xf>
    <xf numFmtId="0" fontId="30" fillId="2" borderId="25" xfId="0" applyNumberFormat="1" applyFont="1" applyFill="1" applyBorder="1" applyAlignment="1">
      <alignment horizontal="center" vertical="top" wrapText="1"/>
    </xf>
    <xf numFmtId="0" fontId="30" fillId="2" borderId="28" xfId="0" applyNumberFormat="1" applyFont="1" applyFill="1" applyBorder="1" applyAlignment="1">
      <alignment horizontal="center" vertical="top" wrapText="1"/>
    </xf>
    <xf numFmtId="14" fontId="32" fillId="3" borderId="0" xfId="0" applyNumberFormat="1" applyFont="1" applyFill="1">
      <alignment horizontal="left" vertical="center" wrapText="1"/>
    </xf>
  </cellXfs>
  <cellStyles count="23">
    <cellStyle name="Comma" xfId="1" builtinId="3" customBuiltin="1"/>
    <cellStyle name="Currency" xfId="2" builtinId="4" customBuiltin="1"/>
    <cellStyle name="Custom Field" xfId="17"/>
    <cellStyle name="Date" xfId="21"/>
    <cellStyle name="Date label" xfId="14"/>
    <cellStyle name="Explanatory Text" xfId="11" builtinId="53" customBuiltin="1"/>
    <cellStyle name="Followed Hyperlink" xfId="20" builtinId="9" customBuiltin="1"/>
    <cellStyle name="Heading 1" xfId="5" builtinId="16" customBuiltin="1"/>
    <cellStyle name="Heading 2" xfId="6" builtinId="17" customBuiltin="1"/>
    <cellStyle name="Heading 3" xfId="7" builtinId="18" customBuiltin="1"/>
    <cellStyle name="Heading 4" xfId="8" builtinId="19" customBuiltin="1"/>
    <cellStyle name="Hyperlink" xfId="19" builtinId="8" customBuiltin="1"/>
    <cellStyle name="Input" xfId="9" builtinId="20" customBuiltin="1"/>
    <cellStyle name="Name" xfId="22"/>
    <cellStyle name="Normal" xfId="0" builtinId="0" customBuiltin="1"/>
    <cellStyle name="Note" xfId="10" builtinId="10" customBuiltin="1"/>
    <cellStyle name="Percent" xfId="3" builtinId="5" customBuiltin="1"/>
    <cellStyle name="Phone" xfId="13"/>
    <cellStyle name="Shipping Date" xfId="18"/>
    <cellStyle name="Shipping Details" xfId="15"/>
    <cellStyle name="Taxable?" xfId="16"/>
    <cellStyle name="Title" xfId="4" builtinId="15" customBuiltin="1"/>
    <cellStyle name="Total" xfId="12" builtinId="25" customBuiltin="1"/>
  </cellStyles>
  <dxfs count="137">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ill>
        <gradientFill degree="180">
          <stop position="0">
            <color theme="0"/>
          </stop>
          <stop position="1">
            <color rgb="FFFF0000"/>
          </stop>
        </gradientFill>
      </fill>
    </dxf>
    <dxf>
      <font>
        <b val="0"/>
        <i val="0"/>
        <strike val="0"/>
        <condense val="0"/>
        <extend val="0"/>
        <outline val="0"/>
        <shadow val="0"/>
        <u val="none"/>
        <vertAlign val="baseline"/>
        <sz val="11"/>
        <color auto="1"/>
        <name val="Calibri"/>
        <scheme val="none"/>
      </font>
      <numFmt numFmtId="165" formatCode="_-[$₱-464]* #,##0.00_-;\-[$₱-464]* #,##0.00_-;_-[$₱-464]* &quot;-&quot;??_-;_-@_-"/>
      <alignment horizontal="right" vertical="center" textRotation="0" wrapText="0" indent="0" justifyLastLine="0" shrinkToFit="0" readingOrder="0"/>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165" formatCode="_-[$₱-464]* #,##0.00_-;\-[$₱-464]* #,##0.00_-;_-[$₱-464]* &quot;-&quot;??_-;_-@_-"/>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165" formatCode="_-[$₱-464]* #,##0.00_-;\-[$₱-464]* #,##0.00_-;_-[$₱-464]* &quot;-&quot;??_-;_-@_-"/>
      <alignment horizontal="right" vertical="center" textRotation="0" wrapText="0" indent="0" justifyLastLine="0" shrinkToFit="0" readingOrder="0"/>
    </dxf>
    <dxf>
      <font>
        <strike val="0"/>
        <outline val="0"/>
        <shadow val="0"/>
        <u val="none"/>
        <vertAlign val="baseline"/>
        <sz val="11"/>
        <name val="Calibri"/>
        <scheme val="none"/>
      </font>
      <numFmt numFmtId="165" formatCode="_-[$₱-464]* #,##0.00_-;\-[$₱-464]* #,##0.00_-;_-[$₱-464]* &quot;-&quot;??_-;_-@_-"/>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trike val="0"/>
        <outline val="0"/>
        <shadow val="0"/>
        <u val="none"/>
        <vertAlign val="baseline"/>
        <sz val="11"/>
        <name val="Calibri"/>
        <scheme val="none"/>
      </font>
      <numFmt numFmtId="4" formatCode="#,##0.00"/>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numFmt numFmtId="165" formatCode="_-[$₱-464]* #,##0.00_-;\-[$₱-464]* #,##0.00_-;_-[$₱-464]*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numFmt numFmtId="165" formatCode="_-[$₱-464]* #,##0.00_-;\-[$₱-464]* #,##0.00_-;_-[$₱-464]* &quot;-&quot;??_-;_-@_-"/>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b val="0"/>
        <i val="0"/>
        <strike val="0"/>
        <condense val="0"/>
        <extend val="0"/>
        <outline val="0"/>
        <shadow val="0"/>
        <u val="none"/>
        <vertAlign val="baseline"/>
        <sz val="11"/>
        <color auto="1"/>
        <name val="Calibri"/>
        <scheme val="none"/>
      </font>
      <numFmt numFmtId="165" formatCode="_-[$₱-464]* #,##0.00_-;\-[$₱-464]* #,##0.00_-;_-[$₱-464]* &quot;-&quot;??_-;_-@_-"/>
      <alignment horizontal="right" vertical="center" textRotation="0" wrapText="0" indent="0" justifyLastLine="0" shrinkToFit="0" readingOrder="0"/>
    </dxf>
    <dxf>
      <font>
        <strike val="0"/>
        <outline val="0"/>
        <shadow val="0"/>
        <u val="none"/>
        <vertAlign val="baseline"/>
        <sz val="11"/>
        <name val="Calibri"/>
        <scheme val="none"/>
      </font>
      <numFmt numFmtId="165" formatCode="_-[$₱-464]* #,##0.00_-;\-[$₱-464]* #,##0.00_-;_-[$₱-464]* &quot;-&quot;??_-;_-@_-"/>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trike val="0"/>
        <outline val="0"/>
        <shadow val="0"/>
        <u val="none"/>
        <vertAlign val="baseline"/>
        <sz val="11"/>
        <name val="Calibri"/>
        <scheme val="none"/>
      </font>
      <numFmt numFmtId="4" formatCode="#,##0.00"/>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numFmt numFmtId="165" formatCode="_-[$₱-464]* #,##0.00_-;\-[$₱-464]* #,##0.00_-;_-[$₱-464]*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numFmt numFmtId="165" formatCode="_-[$₱-464]* #,##0.00_-;\-[$₱-464]* #,##0.00_-;_-[$₱-464]* &quot;-&quot;??_-;_-@_-"/>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color auto="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numFmt numFmtId="165" formatCode="_-[$₱-464]* #,##0.00_-;\-[$₱-464]* #,##0.00_-;_-[$₱-464]* &quot;-&quot;??_-;_-@_-"/>
    </dxf>
    <dxf>
      <font>
        <strike val="0"/>
        <outline val="0"/>
        <shadow val="0"/>
        <u val="none"/>
        <vertAlign val="baseline"/>
        <sz val="11"/>
        <name val="Calibri"/>
        <scheme val="none"/>
      </font>
      <numFmt numFmtId="4" formatCode="#,##0.00"/>
    </dxf>
    <dxf>
      <font>
        <strike val="0"/>
        <outline val="0"/>
        <shadow val="0"/>
        <u val="none"/>
        <vertAlign val="baseline"/>
        <sz val="11"/>
        <name val="Calibri"/>
        <scheme val="none"/>
      </font>
      <numFmt numFmtId="165" formatCode="_-[$₱-464]* #,##0.00_-;\-[$₱-464]* #,##0.00_-;_-[$₱-464]* &quot;-&quot;??_-;_-@_-"/>
      <alignment horizontal="center" vertical="center" textRotation="0" wrapText="0" indent="0" justifyLastLine="0" shrinkToFit="0" readingOrder="0"/>
    </dxf>
    <dxf>
      <font>
        <strike val="0"/>
        <outline val="0"/>
        <shadow val="0"/>
        <u val="none"/>
        <vertAlign val="baseline"/>
        <sz val="11"/>
        <name val="Calibri"/>
        <scheme val="none"/>
      </font>
      <numFmt numFmtId="165" formatCode="_-[$₱-464]* #,##0.00_-;\-[$₱-464]* #,##0.00_-;_-[$₱-464]* &quot;-&quot;??_-;_-@_-"/>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b val="0"/>
        <i val="0"/>
        <strike val="0"/>
        <condense val="0"/>
        <extend val="0"/>
        <outline val="0"/>
        <shadow val="0"/>
        <u val="none"/>
        <vertAlign val="baseline"/>
        <sz val="11"/>
        <color auto="1"/>
        <name val="Calibri"/>
        <scheme val="none"/>
      </font>
      <numFmt numFmtId="165" formatCode="_-[$₱-464]* #,##0.00_-;\-[$₱-464]* #,##0.00_-;_-[$₱-464]* &quot;-&quot;??_-;_-@_-"/>
      <alignment horizontal="right" vertical="center" textRotation="0" wrapText="0" indent="0" justifyLastLine="0" shrinkToFit="0" readingOrder="0"/>
    </dxf>
    <dxf>
      <font>
        <strike val="0"/>
        <outline val="0"/>
        <shadow val="0"/>
        <u val="none"/>
        <vertAlign val="baseline"/>
        <sz val="11"/>
        <name val="Calibri"/>
        <scheme val="none"/>
      </font>
      <numFmt numFmtId="165" formatCode="_-[$₱-464]* #,##0.00_-;\-[$₱-464]* #,##0.00_-;_-[$₱-464]* &quot;-&quot;??_-;_-@_-"/>
    </dxf>
    <dxf>
      <font>
        <b val="0"/>
        <i val="0"/>
        <strike val="0"/>
        <condense val="0"/>
        <extend val="0"/>
        <outline val="0"/>
        <shadow val="0"/>
        <u val="none"/>
        <vertAlign val="baseline"/>
        <sz val="10"/>
        <color auto="1"/>
        <name val="Calibri"/>
        <scheme val="none"/>
      </font>
      <numFmt numFmtId="0" formatCode="General"/>
      <fill>
        <patternFill patternType="none">
          <fgColor indexed="64"/>
          <bgColor indexed="65"/>
        </patternFill>
      </fill>
      <alignment horizontal="right" vertical="center" textRotation="0" wrapText="0" indent="1" justifyLastLine="0" shrinkToFit="0" readingOrder="0"/>
      <border diagonalUp="0" diagonalDown="0" outline="0">
        <left/>
        <right/>
        <top/>
        <bottom/>
      </border>
      <protection locked="1" hidden="0"/>
    </dxf>
    <dxf>
      <font>
        <strike val="0"/>
        <outline val="0"/>
        <shadow val="0"/>
        <u val="none"/>
        <vertAlign val="baseline"/>
        <sz val="11"/>
        <name val="Calibri"/>
        <scheme val="none"/>
      </font>
      <numFmt numFmtId="4" formatCode="#,##0.00"/>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numFmt numFmtId="165" formatCode="_-[$₱-464]* #,##0.00_-;\-[$₱-464]* #,##0.00_-;_-[$₱-464]*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numFmt numFmtId="165" formatCode="_-[$₱-464]* #,##0.00_-;\-[$₱-464]* #,##0.00_-;_-[$₱-464]* &quot;-&quot;??_-;_-@_-"/>
    </dxf>
    <dxf>
      <font>
        <b val="0"/>
        <i val="0"/>
        <strike val="0"/>
        <condense val="0"/>
        <extend val="0"/>
        <outline val="0"/>
        <shadow val="0"/>
        <u val="none"/>
        <vertAlign val="baseline"/>
        <sz val="11"/>
        <color auto="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numFmt numFmtId="167" formatCode="yy/mm/dd"/>
      <fill>
        <patternFill patternType="solid">
          <fgColor indexed="64"/>
          <bgColor theme="0"/>
        </patternFill>
      </fill>
    </dxf>
    <dxf>
      <font>
        <b val="0"/>
        <i val="0"/>
        <strike val="0"/>
        <condense val="0"/>
        <extend val="0"/>
        <outline val="0"/>
        <shadow val="0"/>
        <u val="none"/>
        <vertAlign val="baseline"/>
        <sz val="11"/>
        <color auto="1"/>
        <name val="Arial"/>
        <scheme val="minor"/>
      </font>
      <numFmt numFmtId="4" formatCode="#,##0.00"/>
      <fill>
        <patternFill patternType="solid">
          <fgColor indexed="64"/>
          <bgColor theme="0"/>
        </patternFill>
      </fill>
    </dxf>
    <dxf>
      <font>
        <b val="0"/>
        <i val="0"/>
        <strike val="0"/>
        <condense val="0"/>
        <extend val="0"/>
        <outline val="0"/>
        <shadow val="0"/>
        <u val="none"/>
        <vertAlign val="baseline"/>
        <sz val="11"/>
        <color auto="1"/>
        <name val="Arial"/>
        <scheme val="minor"/>
      </font>
      <numFmt numFmtId="174" formatCode="mm/dd/yy"/>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6" tint="0.79998168889431442"/>
        </patternFill>
      </fill>
    </dxf>
    <dxf>
      <font>
        <b val="0"/>
        <i val="0"/>
        <strike val="0"/>
        <condense val="0"/>
        <extend val="0"/>
        <outline val="0"/>
        <shadow val="0"/>
        <u val="none"/>
        <vertAlign val="baseline"/>
        <sz val="11"/>
        <color auto="1"/>
        <name val="Arial"/>
        <scheme val="minor"/>
      </font>
      <fill>
        <patternFill patternType="solid">
          <fgColor indexed="64"/>
          <bgColor theme="0"/>
        </patternFill>
      </fill>
    </dxf>
    <dxf>
      <font>
        <b val="0"/>
        <i val="0"/>
        <strike val="0"/>
        <condense val="0"/>
        <extend val="0"/>
        <outline val="0"/>
        <shadow val="0"/>
        <u val="none"/>
        <vertAlign val="baseline"/>
        <sz val="11"/>
        <color auto="1"/>
        <name val="Arial"/>
        <scheme val="minor"/>
      </font>
      <fill>
        <patternFill patternType="solid">
          <fgColor indexed="64"/>
          <bgColor theme="5" tint="0.79998168889431442"/>
        </patternFill>
      </fill>
    </dxf>
    <dxf>
      <border>
        <top style="thin">
          <color theme="0" tint="-0.24994659260841701"/>
        </top>
        <bottom style="thin">
          <color theme="0" tint="-0.24994659260841701"/>
        </bottom>
      </border>
    </dxf>
    <dxf>
      <fill>
        <patternFill>
          <bgColor theme="0" tint="-4.9989318521683403E-2"/>
        </patternFill>
      </fill>
      <border>
        <top style="thin">
          <color theme="0" tint="-0.24994659260841701"/>
        </top>
        <bottom style="thin">
          <color theme="0" tint="-0.24994659260841701"/>
        </bottom>
        <horizontal/>
      </border>
    </dxf>
    <dxf>
      <border>
        <left style="thin">
          <color theme="0" tint="-0.24994659260841701"/>
        </left>
        <right style="thin">
          <color theme="0" tint="-0.24994659260841701"/>
        </right>
        <top style="thin">
          <color theme="0" tint="-0.24994659260841701"/>
        </top>
        <bottom/>
        <vertical style="thin">
          <color theme="0" tint="-0.24994659260841701"/>
        </vertical>
        <horizontal/>
      </border>
    </dxf>
    <dxf>
      <fill>
        <patternFill>
          <bgColor theme="0" tint="-4.9989318521683403E-2"/>
        </patternFill>
      </fill>
      <border>
        <left style="thin">
          <color theme="0" tint="-0.34998626667073579"/>
        </left>
        <right style="thin">
          <color theme="0" tint="-0.34998626667073579"/>
        </right>
        <top style="thin">
          <color theme="0" tint="-0.34998626667073579"/>
        </top>
        <bottom style="thin">
          <color theme="0" tint="-0.34998626667073579"/>
        </bottom>
      </border>
    </dxf>
    <dxf>
      <fill>
        <patternFill>
          <bgColor theme="0" tint="-4.9989318521683403E-2"/>
        </patternFill>
      </fill>
      <border>
        <left style="thin">
          <color theme="0" tint="-0.34998626667073579"/>
        </left>
        <right style="thin">
          <color theme="0" tint="-0.34998626667073579"/>
        </right>
        <top style="thin">
          <color theme="0" tint="-0.34998626667073579"/>
        </top>
        <bottom style="thin">
          <color theme="0" tint="-0.34998626667073579"/>
        </bottom>
      </border>
    </dxf>
    <dxf>
      <border diagonalUp="0" diagonalDown="0">
        <left/>
        <right/>
        <top style="thin">
          <color theme="0" tint="-0.34998626667073579"/>
        </top>
        <bottom/>
        <vertical/>
        <horizontal/>
      </border>
    </dxf>
    <dxf>
      <font>
        <b/>
        <i val="0"/>
      </font>
      <fill>
        <patternFill>
          <bgColor theme="0" tint="-4.9989318521683403E-2"/>
        </patternFill>
      </fill>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s>
  <tableStyles count="2" defaultTableStyle="Price quote with tax calculation" defaultPivotStyle="PivotStyleLight16">
    <tableStyle name="Price quote with tax calculation" pivot="0" count="5">
      <tableStyleElement type="wholeTable" dxfId="136"/>
      <tableStyleElement type="headerRow" dxfId="135"/>
      <tableStyleElement type="totalRow" dxfId="134"/>
      <tableStyleElement type="lastColumn" dxfId="133"/>
      <tableStyleElement type="lastTotalCell" dxfId="132"/>
    </tableStyle>
    <tableStyle name="Table Style 2" pivot="0" count="3">
      <tableStyleElement type="wholeTable" dxfId="131"/>
      <tableStyleElement type="headerRow" dxfId="130"/>
      <tableStyleElement type="totalRow" dxfId="12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D8E4E8"/>
      <rgbColor rgb="0099CCFF"/>
      <rgbColor rgb="00EAEAEA"/>
      <rgbColor rgb="00CC99FF"/>
      <rgbColor rgb="00F1F2D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w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wmf"/></Relationships>
</file>

<file path=xl/drawings/_rels/drawing4.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wmf"/></Relationships>
</file>

<file path=xl/drawings/_rels/drawing5.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wmf"/></Relationships>
</file>

<file path=xl/drawings/_rels/drawing6.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w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704850</xdr:colOff>
          <xdr:row>1</xdr:row>
          <xdr:rowOff>38100</xdr:rowOff>
        </xdr:from>
        <xdr:to>
          <xdr:col>10</xdr:col>
          <xdr:colOff>1228725</xdr:colOff>
          <xdr:row>2</xdr:row>
          <xdr:rowOff>152400</xdr:rowOff>
        </xdr:to>
        <xdr:sp macro="" textlink="">
          <xdr:nvSpPr>
            <xdr:cNvPr id="2052" name="CommandButton1"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1771650</xdr:colOff>
          <xdr:row>1</xdr:row>
          <xdr:rowOff>38100</xdr:rowOff>
        </xdr:from>
        <xdr:to>
          <xdr:col>8</xdr:col>
          <xdr:colOff>647700</xdr:colOff>
          <xdr:row>2</xdr:row>
          <xdr:rowOff>142875</xdr:rowOff>
        </xdr:to>
        <xdr:sp macro="" textlink="">
          <xdr:nvSpPr>
            <xdr:cNvPr id="2064" name="CommandButton3"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904875</xdr:colOff>
          <xdr:row>1</xdr:row>
          <xdr:rowOff>38100</xdr:rowOff>
        </xdr:from>
        <xdr:to>
          <xdr:col>6</xdr:col>
          <xdr:colOff>1724025</xdr:colOff>
          <xdr:row>2</xdr:row>
          <xdr:rowOff>142875</xdr:rowOff>
        </xdr:to>
        <xdr:sp macro="" textlink="">
          <xdr:nvSpPr>
            <xdr:cNvPr id="2065" name="CommandButton2"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1647825</xdr:colOff>
          <xdr:row>1</xdr:row>
          <xdr:rowOff>38100</xdr:rowOff>
        </xdr:from>
        <xdr:to>
          <xdr:col>5</xdr:col>
          <xdr:colOff>866775</xdr:colOff>
          <xdr:row>2</xdr:row>
          <xdr:rowOff>142875</xdr:rowOff>
        </xdr:to>
        <xdr:sp macro="" textlink="">
          <xdr:nvSpPr>
            <xdr:cNvPr id="2066" name="CommandButton4"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180975</xdr:rowOff>
        </xdr:from>
        <xdr:to>
          <xdr:col>9</xdr:col>
          <xdr:colOff>361950</xdr:colOff>
          <xdr:row>3</xdr:row>
          <xdr:rowOff>123825</xdr:rowOff>
        </xdr:to>
        <xdr:sp macro="" textlink="">
          <xdr:nvSpPr>
            <xdr:cNvPr id="1032" name="cmdSendtoDash"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6</xdr:row>
          <xdr:rowOff>390525</xdr:rowOff>
        </xdr:from>
        <xdr:to>
          <xdr:col>9</xdr:col>
          <xdr:colOff>361950</xdr:colOff>
          <xdr:row>8</xdr:row>
          <xdr:rowOff>28575</xdr:rowOff>
        </xdr:to>
        <xdr:sp macro="" textlink="">
          <xdr:nvSpPr>
            <xdr:cNvPr id="1039" name="cmdRevise"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121874</xdr:colOff>
      <xdr:row>44</xdr:row>
      <xdr:rowOff>179295</xdr:rowOff>
    </xdr:from>
    <xdr:to>
      <xdr:col>5</xdr:col>
      <xdr:colOff>1378325</xdr:colOff>
      <xdr:row>47</xdr:row>
      <xdr:rowOff>35860</xdr:rowOff>
    </xdr:to>
    <xdr:pic>
      <xdr:nvPicPr>
        <xdr:cNvPr id="6"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7924" y="11352120"/>
          <a:ext cx="1256451" cy="4280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783951</xdr:colOff>
      <xdr:row>44</xdr:row>
      <xdr:rowOff>123265</xdr:rowOff>
    </xdr:from>
    <xdr:to>
      <xdr:col>5</xdr:col>
      <xdr:colOff>33</xdr:colOff>
      <xdr:row>47</xdr:row>
      <xdr:rowOff>24775</xdr:rowOff>
    </xdr:to>
    <xdr:pic>
      <xdr:nvPicPr>
        <xdr:cNvPr id="7" name="Picture 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98751" y="11296090"/>
          <a:ext cx="1576921" cy="473010"/>
        </a:xfrm>
        <a:prstGeom prst="rect">
          <a:avLst/>
        </a:prstGeom>
      </xdr:spPr>
    </xdr:pic>
    <xdr:clientData/>
  </xdr:twoCellAnchor>
  <xdr:twoCellAnchor editAs="oneCell">
    <xdr:from>
      <xdr:col>4</xdr:col>
      <xdr:colOff>847725</xdr:colOff>
      <xdr:row>0</xdr:row>
      <xdr:rowOff>342900</xdr:rowOff>
    </xdr:from>
    <xdr:to>
      <xdr:col>5</xdr:col>
      <xdr:colOff>1135802</xdr:colOff>
      <xdr:row>1</xdr:row>
      <xdr:rowOff>292022</xdr:rowOff>
    </xdr:to>
    <xdr:pic>
      <xdr:nvPicPr>
        <xdr:cNvPr id="8" name="Picture 7" descr="C:\Users\Ryan\AppData\Local\Microsoft\Windows\INetCache\Content.Word\20180606_TrisphereLogo_ROM_1.jp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86450" y="342900"/>
          <a:ext cx="1745402" cy="530147"/>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180975</xdr:rowOff>
        </xdr:from>
        <xdr:to>
          <xdr:col>9</xdr:col>
          <xdr:colOff>361950</xdr:colOff>
          <xdr:row>3</xdr:row>
          <xdr:rowOff>123825</xdr:rowOff>
        </xdr:to>
        <xdr:sp macro="" textlink="">
          <xdr:nvSpPr>
            <xdr:cNvPr id="11265" name="cmdSendtoDash"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6</xdr:row>
          <xdr:rowOff>390525</xdr:rowOff>
        </xdr:from>
        <xdr:to>
          <xdr:col>9</xdr:col>
          <xdr:colOff>361950</xdr:colOff>
          <xdr:row>8</xdr:row>
          <xdr:rowOff>28575</xdr:rowOff>
        </xdr:to>
        <xdr:sp macro="" textlink="">
          <xdr:nvSpPr>
            <xdr:cNvPr id="11266" name="cmdRevise"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121874</xdr:colOff>
      <xdr:row>44</xdr:row>
      <xdr:rowOff>179295</xdr:rowOff>
    </xdr:from>
    <xdr:to>
      <xdr:col>5</xdr:col>
      <xdr:colOff>1378325</xdr:colOff>
      <xdr:row>47</xdr:row>
      <xdr:rowOff>35860</xdr:rowOff>
    </xdr:to>
    <xdr:pic>
      <xdr:nvPicPr>
        <xdr:cNvPr id="4"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7924" y="11237820"/>
          <a:ext cx="1256451" cy="4280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783951</xdr:colOff>
      <xdr:row>44</xdr:row>
      <xdr:rowOff>123265</xdr:rowOff>
    </xdr:from>
    <xdr:to>
      <xdr:col>5</xdr:col>
      <xdr:colOff>127033</xdr:colOff>
      <xdr:row>47</xdr:row>
      <xdr:rowOff>24775</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98751" y="11181790"/>
          <a:ext cx="1597332" cy="473010"/>
        </a:xfrm>
        <a:prstGeom prst="rect">
          <a:avLst/>
        </a:prstGeom>
      </xdr:spPr>
    </xdr:pic>
    <xdr:clientData/>
  </xdr:twoCellAnchor>
  <xdr:twoCellAnchor editAs="oneCell">
    <xdr:from>
      <xdr:col>4</xdr:col>
      <xdr:colOff>847725</xdr:colOff>
      <xdr:row>0</xdr:row>
      <xdr:rowOff>342900</xdr:rowOff>
    </xdr:from>
    <xdr:to>
      <xdr:col>5</xdr:col>
      <xdr:colOff>1135802</xdr:colOff>
      <xdr:row>1</xdr:row>
      <xdr:rowOff>292022</xdr:rowOff>
    </xdr:to>
    <xdr:pic>
      <xdr:nvPicPr>
        <xdr:cNvPr id="6" name="Picture 5" descr="C:\Users\Ryan\AppData\Local\Microsoft\Windows\INetCache\Content.Word\20180606_TrisphereLogo_ROM_1.jp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86450" y="342900"/>
          <a:ext cx="1745402" cy="530147"/>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180975</xdr:rowOff>
        </xdr:from>
        <xdr:to>
          <xdr:col>9</xdr:col>
          <xdr:colOff>361950</xdr:colOff>
          <xdr:row>3</xdr:row>
          <xdr:rowOff>123825</xdr:rowOff>
        </xdr:to>
        <xdr:sp macro="" textlink="">
          <xdr:nvSpPr>
            <xdr:cNvPr id="8193" name="cmdSendtoDash"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6</xdr:row>
          <xdr:rowOff>390525</xdr:rowOff>
        </xdr:from>
        <xdr:to>
          <xdr:col>9</xdr:col>
          <xdr:colOff>361950</xdr:colOff>
          <xdr:row>8</xdr:row>
          <xdr:rowOff>28575</xdr:rowOff>
        </xdr:to>
        <xdr:sp macro="" textlink="">
          <xdr:nvSpPr>
            <xdr:cNvPr id="8194" name="cmdRevise"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121874</xdr:colOff>
      <xdr:row>49</xdr:row>
      <xdr:rowOff>179295</xdr:rowOff>
    </xdr:from>
    <xdr:to>
      <xdr:col>5</xdr:col>
      <xdr:colOff>1378325</xdr:colOff>
      <xdr:row>52</xdr:row>
      <xdr:rowOff>35860</xdr:rowOff>
    </xdr:to>
    <xdr:pic>
      <xdr:nvPicPr>
        <xdr:cNvPr id="4"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7924" y="11237820"/>
          <a:ext cx="1256451" cy="4280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783951</xdr:colOff>
      <xdr:row>49</xdr:row>
      <xdr:rowOff>123265</xdr:rowOff>
    </xdr:from>
    <xdr:to>
      <xdr:col>5</xdr:col>
      <xdr:colOff>142908</xdr:colOff>
      <xdr:row>52</xdr:row>
      <xdr:rowOff>24775</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98751" y="11181790"/>
          <a:ext cx="1597332" cy="473010"/>
        </a:xfrm>
        <a:prstGeom prst="rect">
          <a:avLst/>
        </a:prstGeom>
      </xdr:spPr>
    </xdr:pic>
    <xdr:clientData/>
  </xdr:twoCellAnchor>
  <xdr:twoCellAnchor editAs="oneCell">
    <xdr:from>
      <xdr:col>4</xdr:col>
      <xdr:colOff>847725</xdr:colOff>
      <xdr:row>0</xdr:row>
      <xdr:rowOff>342900</xdr:rowOff>
    </xdr:from>
    <xdr:to>
      <xdr:col>5</xdr:col>
      <xdr:colOff>1135802</xdr:colOff>
      <xdr:row>1</xdr:row>
      <xdr:rowOff>292022</xdr:rowOff>
    </xdr:to>
    <xdr:pic>
      <xdr:nvPicPr>
        <xdr:cNvPr id="6" name="Picture 5" descr="C:\Users\Ryan\AppData\Local\Microsoft\Windows\INetCache\Content.Word\20180606_TrisphereLogo_ROM_1.jp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86450" y="342900"/>
          <a:ext cx="1745402" cy="530147"/>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180975</xdr:rowOff>
        </xdr:from>
        <xdr:to>
          <xdr:col>9</xdr:col>
          <xdr:colOff>361950</xdr:colOff>
          <xdr:row>3</xdr:row>
          <xdr:rowOff>123825</xdr:rowOff>
        </xdr:to>
        <xdr:sp macro="" textlink="">
          <xdr:nvSpPr>
            <xdr:cNvPr id="5121" name="cmdSendtoDash"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6</xdr:row>
          <xdr:rowOff>390525</xdr:rowOff>
        </xdr:from>
        <xdr:to>
          <xdr:col>9</xdr:col>
          <xdr:colOff>361950</xdr:colOff>
          <xdr:row>8</xdr:row>
          <xdr:rowOff>28575</xdr:rowOff>
        </xdr:to>
        <xdr:sp macro="" textlink="">
          <xdr:nvSpPr>
            <xdr:cNvPr id="5122" name="cmdRevise"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121874</xdr:colOff>
      <xdr:row>44</xdr:row>
      <xdr:rowOff>179295</xdr:rowOff>
    </xdr:from>
    <xdr:to>
      <xdr:col>5</xdr:col>
      <xdr:colOff>1378325</xdr:colOff>
      <xdr:row>47</xdr:row>
      <xdr:rowOff>35860</xdr:rowOff>
    </xdr:to>
    <xdr:pic>
      <xdr:nvPicPr>
        <xdr:cNvPr id="4"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7924" y="11237820"/>
          <a:ext cx="1256451" cy="4280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783951</xdr:colOff>
      <xdr:row>44</xdr:row>
      <xdr:rowOff>123265</xdr:rowOff>
    </xdr:from>
    <xdr:to>
      <xdr:col>5</xdr:col>
      <xdr:colOff>33</xdr:colOff>
      <xdr:row>47</xdr:row>
      <xdr:rowOff>24775</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98751" y="11181790"/>
          <a:ext cx="1597332" cy="473010"/>
        </a:xfrm>
        <a:prstGeom prst="rect">
          <a:avLst/>
        </a:prstGeom>
      </xdr:spPr>
    </xdr:pic>
    <xdr:clientData/>
  </xdr:twoCellAnchor>
  <xdr:twoCellAnchor editAs="oneCell">
    <xdr:from>
      <xdr:col>4</xdr:col>
      <xdr:colOff>847725</xdr:colOff>
      <xdr:row>0</xdr:row>
      <xdr:rowOff>342900</xdr:rowOff>
    </xdr:from>
    <xdr:to>
      <xdr:col>5</xdr:col>
      <xdr:colOff>1135802</xdr:colOff>
      <xdr:row>1</xdr:row>
      <xdr:rowOff>292022</xdr:rowOff>
    </xdr:to>
    <xdr:pic>
      <xdr:nvPicPr>
        <xdr:cNvPr id="6" name="Picture 5" descr="C:\Users\Ryan\AppData\Local\Microsoft\Windows\INetCache\Content.Word\20180606_TrisphereLogo_ROM_1.jp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86450" y="342900"/>
          <a:ext cx="1745402" cy="530147"/>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180975</xdr:rowOff>
        </xdr:from>
        <xdr:to>
          <xdr:col>9</xdr:col>
          <xdr:colOff>361950</xdr:colOff>
          <xdr:row>3</xdr:row>
          <xdr:rowOff>123825</xdr:rowOff>
        </xdr:to>
        <xdr:sp macro="" textlink="">
          <xdr:nvSpPr>
            <xdr:cNvPr id="4097" name="cmdSendtoDash"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6</xdr:row>
          <xdr:rowOff>390525</xdr:rowOff>
        </xdr:from>
        <xdr:to>
          <xdr:col>9</xdr:col>
          <xdr:colOff>361950</xdr:colOff>
          <xdr:row>8</xdr:row>
          <xdr:rowOff>28575</xdr:rowOff>
        </xdr:to>
        <xdr:sp macro="" textlink="">
          <xdr:nvSpPr>
            <xdr:cNvPr id="4098" name="cmdRevise"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121874</xdr:colOff>
      <xdr:row>44</xdr:row>
      <xdr:rowOff>179295</xdr:rowOff>
    </xdr:from>
    <xdr:to>
      <xdr:col>5</xdr:col>
      <xdr:colOff>1378325</xdr:colOff>
      <xdr:row>47</xdr:row>
      <xdr:rowOff>35860</xdr:rowOff>
    </xdr:to>
    <xdr:pic>
      <xdr:nvPicPr>
        <xdr:cNvPr id="4"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17924" y="10942545"/>
          <a:ext cx="1256451" cy="4280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783951</xdr:colOff>
      <xdr:row>44</xdr:row>
      <xdr:rowOff>123265</xdr:rowOff>
    </xdr:from>
    <xdr:to>
      <xdr:col>5</xdr:col>
      <xdr:colOff>33</xdr:colOff>
      <xdr:row>47</xdr:row>
      <xdr:rowOff>24775</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98751" y="10886515"/>
          <a:ext cx="1597332" cy="473010"/>
        </a:xfrm>
        <a:prstGeom prst="rect">
          <a:avLst/>
        </a:prstGeom>
      </xdr:spPr>
    </xdr:pic>
    <xdr:clientData/>
  </xdr:twoCellAnchor>
  <xdr:twoCellAnchor editAs="oneCell">
    <xdr:from>
      <xdr:col>4</xdr:col>
      <xdr:colOff>847725</xdr:colOff>
      <xdr:row>0</xdr:row>
      <xdr:rowOff>342900</xdr:rowOff>
    </xdr:from>
    <xdr:to>
      <xdr:col>5</xdr:col>
      <xdr:colOff>1135802</xdr:colOff>
      <xdr:row>1</xdr:row>
      <xdr:rowOff>292022</xdr:rowOff>
    </xdr:to>
    <xdr:pic>
      <xdr:nvPicPr>
        <xdr:cNvPr id="6" name="Picture 5" descr="C:\Users\Ryan\AppData\Local\Microsoft\Windows\INetCache\Content.Word\20180606_TrisphereLogo_ROM_1.jp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86450" y="342900"/>
          <a:ext cx="1745402" cy="530147"/>
        </a:xfrm>
        <a:prstGeom prst="rect">
          <a:avLst/>
        </a:prstGeom>
        <a:noFill/>
        <a:ln>
          <a:noFill/>
        </a:ln>
      </xdr:spPr>
    </xdr:pic>
    <xdr:clientData/>
  </xdr:twoCellAnchor>
</xdr:wsDr>
</file>

<file path=xl/tables/table1.xml><?xml version="1.0" encoding="utf-8"?>
<table xmlns="http://schemas.openxmlformats.org/spreadsheetml/2006/main" id="2" name="Table2" displayName="Table2" ref="B6:K32" totalsRowShown="0" headerRowDxfId="128" dataDxfId="127">
  <autoFilter ref="B6:K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Q. Number" dataDxfId="126"/>
    <tableColumn id="2" name="Company Name" dataDxfId="125"/>
    <tableColumn id="3" name="Contact Name" dataDxfId="124"/>
    <tableColumn id="4" name="Phone" dataDxfId="123"/>
    <tableColumn id="10" name="Date Created" dataDxfId="122"/>
    <tableColumn id="5" name="Product Overview" dataDxfId="121"/>
    <tableColumn id="6" name="Q. Validity" dataDxfId="120"/>
    <tableColumn id="9" name="Amount" dataDxfId="119"/>
    <tableColumn id="7" name="Prepared By" dataDxfId="118"/>
    <tableColumn id="8" name="Record Status" dataDxfId="117"/>
  </tableColumns>
  <tableStyleInfo name="Price quote with tax calculation" showFirstColumn="0" showLastColumn="0" showRowStripes="1" showColumnStripes="0"/>
</table>
</file>

<file path=xl/tables/table2.xml><?xml version="1.0" encoding="utf-8"?>
<table xmlns="http://schemas.openxmlformats.org/spreadsheetml/2006/main" id="26" name="Table26" displayName="Table26" ref="A1:B684" totalsRowShown="0">
  <autoFilter ref="A1:B684"/>
  <tableColumns count="2">
    <tableColumn id="1" name="Date"/>
    <tableColumn id="2" name="Log Message"/>
  </tableColumns>
  <tableStyleInfo name="Price quote with tax calculation" showFirstColumn="0" showLastColumn="0" showRowStripes="1" showColumnStripes="0"/>
</table>
</file>

<file path=xl/tables/table3.xml><?xml version="1.0" encoding="utf-8"?>
<table xmlns="http://schemas.openxmlformats.org/spreadsheetml/2006/main" id="9" name="Quotation10" displayName="Quotation10" ref="B11:F29" totalsRowCount="1" headerRowDxfId="116" dataDxfId="115" totalsRowDxfId="114">
  <autoFilter ref="B11:F28">
    <filterColumn colId="0" hiddenButton="1"/>
    <filterColumn colId="1" hiddenButton="1"/>
    <filterColumn colId="2" hiddenButton="1"/>
    <filterColumn colId="3" hiddenButton="1"/>
    <filterColumn colId="4" hiddenButton="1"/>
  </autoFilter>
  <tableColumns count="5">
    <tableColumn id="1" name="QUANTITY" dataDxfId="113" totalsRowDxfId="112" dataCellStyle="Comma"/>
    <tableColumn id="2" name="DESCRIPTION" dataDxfId="111" totalsRowDxfId="110" dataCellStyle="Normal"/>
    <tableColumn id="4" name="UNIT" dataDxfId="109" totalsRowDxfId="108" dataCellStyle="Currency"/>
    <tableColumn id="5" name="UNIT PRICE" totalsRowLabel="TOTAL PRICE" dataDxfId="107" totalsRowDxfId="106"/>
    <tableColumn id="6" name="AMOUNT" totalsRowFunction="custom" dataDxfId="105" totalsRowDxfId="104" dataCellStyle="Currency">
      <calculatedColumnFormula>IFERROR(IF(Quotation10[[#This Row],[QUANTITY]],Quotation10[[#This Row],[QUANTITY]]*Quotation10[[#This Row],[UNIT PRICE]],""),"")</calculatedColumnFormula>
      <totalsRowFormula>IFERROR(IF(B12,SUM(Quotation10[AMOUNT]),""),"")</totalsRowFormula>
    </tableColumn>
  </tableColumns>
  <tableStyleInfo name="Table Style 2" showFirstColumn="0" showLastColumn="1" showRowStripes="1" showColumnStripes="0"/>
  <extLst>
    <ext xmlns:x14="http://schemas.microsoft.com/office/spreadsheetml/2009/9/main" uri="{504A1905-F514-4f6f-8877-14C23A59335A}">
      <x14:table altTextSummary="Enter Quantity, Description, Unit Price, and Taxable status in this table. Subtotal is automatically calculated"/>
    </ext>
  </extLst>
</table>
</file>

<file path=xl/tables/table4.xml><?xml version="1.0" encoding="utf-8"?>
<table xmlns="http://schemas.openxmlformats.org/spreadsheetml/2006/main" id="4" name="Quotation105" displayName="Quotation105" ref="B11:F29" totalsRowCount="1" headerRowDxfId="103" dataDxfId="102" totalsRowDxfId="101">
  <autoFilter ref="B11:F28">
    <filterColumn colId="0" hiddenButton="1"/>
    <filterColumn colId="1" hiddenButton="1"/>
    <filterColumn colId="2" hiddenButton="1"/>
    <filterColumn colId="3" hiddenButton="1"/>
    <filterColumn colId="4" hiddenButton="1"/>
  </autoFilter>
  <tableColumns count="5">
    <tableColumn id="1" name="QUANTITY" dataDxfId="100" totalsRowDxfId="61" dataCellStyle="Comma"/>
    <tableColumn id="2" name="DESCRIPTION" dataDxfId="99" totalsRowDxfId="60" dataCellStyle="Normal"/>
    <tableColumn id="4" name="UNIT" dataDxfId="98" totalsRowDxfId="59" dataCellStyle="Currency"/>
    <tableColumn id="5" name="UNIT PRICE" totalsRowLabel="TOTAL PRICE" dataDxfId="97" totalsRowDxfId="58"/>
    <tableColumn id="6" name="AMOUNT" totalsRowFunction="custom" dataDxfId="96" totalsRowDxfId="57" dataCellStyle="Currency">
      <calculatedColumnFormula>IFERROR(IF(Quotation105[[#This Row],[QUANTITY]],Quotation105[[#This Row],[QUANTITY]]*Quotation105[[#This Row],[UNIT PRICE]],""),"")</calculatedColumnFormula>
      <totalsRowFormula>IFERROR(IF(B12,SUM(Quotation105[AMOUNT]),""),"")</totalsRowFormula>
    </tableColumn>
  </tableColumns>
  <tableStyleInfo name="Table Style 2" showFirstColumn="0" showLastColumn="1" showRowStripes="1" showColumnStripes="0"/>
  <extLst>
    <ext xmlns:x14="http://schemas.microsoft.com/office/spreadsheetml/2009/9/main" uri="{504A1905-F514-4f6f-8877-14C23A59335A}">
      <x14:table altTextSummary="Enter Quantity, Description, Unit Price, and Taxable status in this table. Subtotal is automatically calculated"/>
    </ext>
  </extLst>
</table>
</file>

<file path=xl/tables/table5.xml><?xml version="1.0" encoding="utf-8"?>
<table xmlns="http://schemas.openxmlformats.org/spreadsheetml/2006/main" id="5" name="Quotation106" displayName="Quotation106" ref="B11:F29" totalsRowCount="1" headerRowDxfId="95" dataDxfId="94" totalsRowDxfId="93">
  <autoFilter ref="B11:F28">
    <filterColumn colId="0" hiddenButton="1"/>
    <filterColumn colId="1" hiddenButton="1"/>
    <filterColumn colId="2" hiddenButton="1"/>
    <filterColumn colId="3" hiddenButton="1"/>
    <filterColumn colId="4" hiddenButton="1"/>
  </autoFilter>
  <tableColumns count="5">
    <tableColumn id="1" name="QUANTITY" totalsRowDxfId="66" dataCellStyle="Comma"/>
    <tableColumn id="2" name="DESCRIPTION" totalsRowDxfId="65" dataCellStyle="Normal"/>
    <tableColumn id="4" name="UNIT" totalsRowDxfId="64" dataCellStyle="Currency"/>
    <tableColumn id="5" name="UNIT PRICE" totalsRowLabel="TOTAL PRICE" totalsRowDxfId="63"/>
    <tableColumn id="6" name="AMOUNT" totalsRowFunction="custom" totalsRowDxfId="62" dataCellStyle="Currency">
      <calculatedColumnFormula>IFERROR(IF(Quotation106[[#This Row],[QUANTITY]],Quotation106[[#This Row],[QUANTITY]]*Quotation106[[#This Row],[UNIT PRICE]],""),"")</calculatedColumnFormula>
      <totalsRowFormula>IFERROR(IF(B12,SUM(Quotation106[AMOUNT]),""),"")</totalsRowFormula>
    </tableColumn>
  </tableColumns>
  <tableStyleInfo name="Table Style 2" showFirstColumn="0" showLastColumn="1" showRowStripes="1" showColumnStripes="0"/>
  <extLst>
    <ext xmlns:x14="http://schemas.microsoft.com/office/spreadsheetml/2009/9/main" uri="{504A1905-F514-4f6f-8877-14C23A59335A}">
      <x14:table altTextSummary="Enter Quantity, Description, Unit Price, and Taxable status in this table. Subtotal is automatically calculated"/>
    </ext>
  </extLst>
</table>
</file>

<file path=xl/tables/table6.xml><?xml version="1.0" encoding="utf-8"?>
<table xmlns="http://schemas.openxmlformats.org/spreadsheetml/2006/main" id="3" name="Quotation104" displayName="Quotation104" ref="B11:F29" totalsRowCount="1" headerRowDxfId="92" dataDxfId="91" totalsRowDxfId="90">
  <autoFilter ref="B11:F28">
    <filterColumn colId="0" hiddenButton="1"/>
    <filterColumn colId="1" hiddenButton="1"/>
    <filterColumn colId="2" hiddenButton="1"/>
    <filterColumn colId="3" hiddenButton="1"/>
    <filterColumn colId="4" hiddenButton="1"/>
  </autoFilter>
  <tableColumns count="5">
    <tableColumn id="1" name="QUANTITY" dataDxfId="89" totalsRowDxfId="88" dataCellStyle="Comma"/>
    <tableColumn id="2" name="DESCRIPTION" dataDxfId="87" totalsRowDxfId="86" dataCellStyle="Normal"/>
    <tableColumn id="4" name="UNIT" dataDxfId="85" totalsRowDxfId="84" dataCellStyle="Currency"/>
    <tableColumn id="5" name="UNIT PRICE" totalsRowLabel="TOTAL PRICE" dataDxfId="83" totalsRowDxfId="82"/>
    <tableColumn id="6" name="AMOUNT" totalsRowFunction="custom" dataDxfId="81" totalsRowDxfId="80" dataCellStyle="Currency">
      <calculatedColumnFormula>IFERROR(IF(Quotation104[[#This Row],[QUANTITY]],Quotation104[[#This Row],[QUANTITY]]*Quotation104[[#This Row],[UNIT PRICE]],""),"")</calculatedColumnFormula>
      <totalsRowFormula>IFERROR(IF(B12,SUM(Quotation104[AMOUNT]),""),"")</totalsRowFormula>
    </tableColumn>
  </tableColumns>
  <tableStyleInfo name="Table Style 2" showFirstColumn="0" showLastColumn="1" showRowStripes="1" showColumnStripes="0"/>
  <extLst>
    <ext xmlns:x14="http://schemas.microsoft.com/office/spreadsheetml/2009/9/main" uri="{504A1905-F514-4f6f-8877-14C23A59335A}">
      <x14:table altTextSummary="Enter Quantity, Description, Unit Price, and Taxable status in this table. Subtotal is automatically calculated"/>
    </ext>
  </extLst>
</table>
</file>

<file path=xl/tables/table7.xml><?xml version="1.0" encoding="utf-8"?>
<table xmlns="http://schemas.openxmlformats.org/spreadsheetml/2006/main" id="1" name="Quotation102" displayName="Quotation102" ref="B11:F29" totalsRowCount="1" headerRowDxfId="79" dataDxfId="78" totalsRowDxfId="77">
  <autoFilter ref="B11:F28">
    <filterColumn colId="0" hiddenButton="1"/>
    <filterColumn colId="1" hiddenButton="1"/>
    <filterColumn colId="2" hiddenButton="1"/>
    <filterColumn colId="3" hiddenButton="1"/>
    <filterColumn colId="4" hiddenButton="1"/>
  </autoFilter>
  <tableColumns count="5">
    <tableColumn id="1" name="QUANTITY" dataDxfId="76" totalsRowDxfId="75" dataCellStyle="Comma"/>
    <tableColumn id="2" name="DESCRIPTION" dataDxfId="74" totalsRowDxfId="73" dataCellStyle="Normal"/>
    <tableColumn id="4" name="UNIT" dataDxfId="72" totalsRowDxfId="71" dataCellStyle="Currency"/>
    <tableColumn id="5" name="UNIT PRICE" totalsRowLabel="TOTAL PRICE" dataDxfId="70" totalsRowDxfId="69"/>
    <tableColumn id="6" name="AMOUNT" totalsRowFunction="custom" dataDxfId="68" totalsRowDxfId="67" dataCellStyle="Currency">
      <calculatedColumnFormula>IFERROR(IF(Quotation102[[#This Row],[QUANTITY]],Quotation102[[#This Row],[QUANTITY]]*Quotation102[[#This Row],[UNIT PRICE]],""),"")</calculatedColumnFormula>
      <totalsRowFormula>IFERROR(IF(B12,SUM(Quotation102[AMOUNT]),""),"")</totalsRowFormula>
    </tableColumn>
  </tableColumns>
  <tableStyleInfo name="Table Style 2" showFirstColumn="0" showLastColumn="1" showRowStripes="1" showColumnStripes="0"/>
  <extLst>
    <ext xmlns:x14="http://schemas.microsoft.com/office/spreadsheetml/2009/9/main" uri="{504A1905-F514-4f6f-8877-14C23A59335A}">
      <x14:table altTextSummary="Enter Quantity, Description, Unit Price, and Taxable status in this table. Subtotal is automatically calculated"/>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4.xml"/><Relationship Id="rId5" Type="http://schemas.openxmlformats.org/officeDocument/2006/relationships/image" Target="../media/image16.emf"/><Relationship Id="rId4" Type="http://schemas.openxmlformats.org/officeDocument/2006/relationships/control" Target="../activeX/activeX13.xml"/><Relationship Id="rId9"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N1000"/>
  <sheetViews>
    <sheetView tabSelected="1" zoomScaleNormal="100" workbookViewId="0">
      <pane ySplit="3" topLeftCell="A7" activePane="bottomLeft" state="frozen"/>
      <selection activeCell="C21" sqref="C21"/>
      <selection pane="bottomLeft" activeCell="D9" sqref="D9"/>
    </sheetView>
  </sheetViews>
  <sheetFormatPr defaultRowHeight="14.25"/>
  <cols>
    <col min="1" max="1" width="2.25" style="6" customWidth="1"/>
    <col min="2" max="2" width="12.125" style="6" bestFit="1" customWidth="1"/>
    <col min="3" max="3" width="27.125" style="6" customWidth="1"/>
    <col min="4" max="4" width="24.5" style="6" customWidth="1"/>
    <col min="5" max="5" width="12.875" style="6" customWidth="1"/>
    <col min="6" max="6" width="12.625" style="6" bestFit="1" customWidth="1"/>
    <col min="7" max="7" width="23.75" style="6" customWidth="1"/>
    <col min="8" max="8" width="14.375" style="14" customWidth="1"/>
    <col min="9" max="9" width="15.375" style="6" customWidth="1"/>
    <col min="10" max="10" width="17" style="19" customWidth="1"/>
    <col min="11" max="11" width="16.25" style="19" customWidth="1"/>
    <col min="12" max="16384" width="9" style="6"/>
  </cols>
  <sheetData>
    <row r="1" spans="1:14" s="5" customFormat="1" ht="36" customHeight="1">
      <c r="A1" s="4" t="s">
        <v>4</v>
      </c>
      <c r="B1" s="228" t="s">
        <v>185</v>
      </c>
      <c r="C1" s="228"/>
      <c r="D1" s="228"/>
      <c r="E1" s="228"/>
      <c r="F1" s="18"/>
      <c r="H1" s="16"/>
      <c r="J1" s="230" t="s">
        <v>5</v>
      </c>
      <c r="K1" s="230"/>
    </row>
    <row r="2" spans="1:14" ht="14.25" customHeight="1">
      <c r="H2" s="13"/>
      <c r="K2" s="21"/>
      <c r="L2" s="12"/>
      <c r="M2" s="12"/>
      <c r="N2" s="12"/>
    </row>
    <row r="3" spans="1:14" ht="15">
      <c r="B3" s="6" t="s">
        <v>14</v>
      </c>
      <c r="C3" s="145">
        <f ca="1">TODAY()</f>
        <v>43543</v>
      </c>
      <c r="D3" s="11"/>
      <c r="G3" s="12"/>
      <c r="H3" s="13"/>
      <c r="K3" s="21"/>
      <c r="L3" s="12"/>
      <c r="M3" s="12"/>
      <c r="N3" s="12"/>
    </row>
    <row r="4" spans="1:14" ht="15" customHeight="1">
      <c r="A4" s="19"/>
      <c r="B4" s="231"/>
      <c r="C4" s="231"/>
      <c r="D4" s="231"/>
      <c r="E4" s="231"/>
      <c r="F4" s="231"/>
      <c r="G4" s="231"/>
      <c r="H4" s="231"/>
      <c r="I4" s="231"/>
      <c r="J4" s="231"/>
      <c r="K4" s="231"/>
      <c r="L4" s="12"/>
      <c r="M4" s="12"/>
      <c r="N4" s="12"/>
    </row>
    <row r="5" spans="1:14" ht="15" customHeight="1">
      <c r="B5" s="146"/>
      <c r="C5" s="229" t="s">
        <v>187</v>
      </c>
      <c r="D5" s="229"/>
      <c r="E5" s="229"/>
      <c r="F5" s="232" t="s">
        <v>389</v>
      </c>
      <c r="G5" s="232"/>
      <c r="H5" s="232"/>
      <c r="I5" s="232"/>
      <c r="J5" s="232"/>
      <c r="K5" s="232"/>
      <c r="L5" s="17"/>
      <c r="M5" s="17"/>
      <c r="N5" s="17"/>
    </row>
    <row r="6" spans="1:14" ht="30" customHeight="1">
      <c r="B6" s="25" t="s">
        <v>186</v>
      </c>
      <c r="C6" s="25" t="s">
        <v>188</v>
      </c>
      <c r="D6" s="25" t="s">
        <v>157</v>
      </c>
      <c r="E6" s="25" t="s">
        <v>189</v>
      </c>
      <c r="F6" s="25" t="s">
        <v>15</v>
      </c>
      <c r="G6" s="25" t="s">
        <v>156</v>
      </c>
      <c r="H6" s="26" t="s">
        <v>190</v>
      </c>
      <c r="I6" s="25" t="s">
        <v>155</v>
      </c>
      <c r="J6" s="27" t="s">
        <v>16</v>
      </c>
      <c r="K6" s="27" t="s">
        <v>460</v>
      </c>
      <c r="L6" s="10"/>
      <c r="M6" s="10"/>
    </row>
    <row r="7" spans="1:14">
      <c r="B7" s="9" t="s">
        <v>554</v>
      </c>
      <c r="C7" s="28"/>
      <c r="F7" s="7"/>
      <c r="G7" s="7"/>
      <c r="H7" s="7"/>
      <c r="I7" s="14"/>
      <c r="J7" s="23"/>
      <c r="K7" s="22"/>
      <c r="L7" s="10"/>
      <c r="M7" s="10"/>
    </row>
    <row r="8" spans="1:14" ht="63.75">
      <c r="B8" s="9" t="s">
        <v>516</v>
      </c>
      <c r="C8" s="6" t="s">
        <v>557</v>
      </c>
      <c r="D8" s="6" t="s">
        <v>556</v>
      </c>
      <c r="E8" s="6" t="s">
        <v>555</v>
      </c>
      <c r="F8" s="7">
        <v>43543</v>
      </c>
      <c r="G8" s="278" t="s">
        <v>559</v>
      </c>
      <c r="H8" s="7">
        <v>43633</v>
      </c>
      <c r="I8" s="14">
        <v>3931162</v>
      </c>
      <c r="J8" s="24" t="s">
        <v>395</v>
      </c>
      <c r="K8" s="19" t="s">
        <v>484</v>
      </c>
    </row>
    <row r="9" spans="1:14" ht="63.75">
      <c r="B9" s="9" t="s">
        <v>485</v>
      </c>
      <c r="C9" s="6" t="s">
        <v>508</v>
      </c>
      <c r="D9" s="6" t="s">
        <v>509</v>
      </c>
      <c r="F9" s="7">
        <v>43537</v>
      </c>
      <c r="G9" s="278" t="s">
        <v>553</v>
      </c>
      <c r="H9" s="7">
        <v>43627</v>
      </c>
      <c r="I9" s="14">
        <v>4455340</v>
      </c>
      <c r="J9" s="24" t="s">
        <v>395</v>
      </c>
      <c r="K9" s="19" t="s">
        <v>484</v>
      </c>
    </row>
    <row r="10" spans="1:14" ht="42.75">
      <c r="B10" s="9" t="s">
        <v>473</v>
      </c>
      <c r="C10" s="6" t="s">
        <v>464</v>
      </c>
      <c r="D10" s="6" t="s">
        <v>482</v>
      </c>
      <c r="E10" s="6" t="s">
        <v>474</v>
      </c>
      <c r="F10" s="7">
        <v>43536</v>
      </c>
      <c r="G10" s="7" t="s">
        <v>475</v>
      </c>
      <c r="H10" s="7">
        <v>43626</v>
      </c>
      <c r="I10" s="14">
        <v>500</v>
      </c>
      <c r="J10" s="24" t="s">
        <v>472</v>
      </c>
      <c r="K10" s="19" t="s">
        <v>481</v>
      </c>
    </row>
    <row r="11" spans="1:14" ht="42.75">
      <c r="B11" s="9" t="s">
        <v>471</v>
      </c>
      <c r="C11" s="6" t="s">
        <v>464</v>
      </c>
      <c r="D11" s="6" t="s">
        <v>467</v>
      </c>
      <c r="E11" s="6" t="s">
        <v>465</v>
      </c>
      <c r="F11" s="7">
        <v>43536</v>
      </c>
      <c r="G11" s="7" t="s">
        <v>307</v>
      </c>
      <c r="H11" s="7">
        <v>43626</v>
      </c>
      <c r="I11" s="14">
        <v>12500</v>
      </c>
      <c r="J11" s="24" t="s">
        <v>472</v>
      </c>
      <c r="K11" s="19" t="s">
        <v>481</v>
      </c>
    </row>
    <row r="12" spans="1:14">
      <c r="B12" s="9"/>
      <c r="F12" s="7"/>
      <c r="H12" s="7"/>
      <c r="I12" s="14"/>
      <c r="J12" s="24"/>
    </row>
    <row r="13" spans="1:14">
      <c r="B13" s="9"/>
      <c r="F13" s="7"/>
      <c r="H13" s="7"/>
      <c r="I13" s="14"/>
      <c r="J13" s="24"/>
    </row>
    <row r="14" spans="1:14">
      <c r="B14" s="9"/>
      <c r="F14" s="7"/>
      <c r="H14" s="7"/>
      <c r="I14" s="14"/>
      <c r="J14" s="24"/>
    </row>
    <row r="15" spans="1:14">
      <c r="B15" s="9"/>
      <c r="F15" s="7"/>
      <c r="H15" s="7"/>
      <c r="I15" s="14"/>
      <c r="J15" s="24"/>
    </row>
    <row r="16" spans="1:14">
      <c r="B16" s="9"/>
      <c r="F16" s="7"/>
      <c r="H16" s="7"/>
      <c r="I16" s="14"/>
      <c r="J16" s="24"/>
    </row>
    <row r="17" spans="2:10">
      <c r="B17" s="9"/>
      <c r="F17" s="7"/>
      <c r="H17" s="7"/>
      <c r="I17" s="14"/>
      <c r="J17" s="24"/>
    </row>
    <row r="18" spans="2:10">
      <c r="B18" s="9"/>
      <c r="F18" s="7"/>
      <c r="H18" s="7"/>
      <c r="I18" s="14"/>
      <c r="J18" s="24"/>
    </row>
    <row r="19" spans="2:10">
      <c r="B19" s="9"/>
      <c r="F19" s="7"/>
      <c r="H19" s="7"/>
      <c r="I19" s="14"/>
      <c r="J19" s="24"/>
    </row>
    <row r="20" spans="2:10">
      <c r="B20" s="9"/>
      <c r="F20" s="7"/>
      <c r="H20" s="7"/>
      <c r="I20" s="14"/>
      <c r="J20" s="24"/>
    </row>
    <row r="21" spans="2:10">
      <c r="B21" s="9"/>
      <c r="F21" s="7"/>
      <c r="H21" s="7"/>
      <c r="I21" s="14"/>
      <c r="J21" s="24"/>
    </row>
    <row r="22" spans="2:10">
      <c r="B22" s="9"/>
      <c r="F22" s="7"/>
      <c r="H22" s="7"/>
      <c r="I22" s="14"/>
      <c r="J22" s="24"/>
    </row>
    <row r="23" spans="2:10">
      <c r="B23" s="9"/>
      <c r="F23" s="7"/>
      <c r="H23" s="7"/>
      <c r="I23" s="14"/>
      <c r="J23" s="24"/>
    </row>
    <row r="24" spans="2:10">
      <c r="B24" s="9"/>
      <c r="F24" s="7"/>
      <c r="H24" s="7"/>
      <c r="I24" s="14"/>
      <c r="J24" s="24"/>
    </row>
    <row r="25" spans="2:10">
      <c r="B25" s="9"/>
      <c r="F25" s="7"/>
      <c r="H25" s="7"/>
      <c r="I25" s="14"/>
      <c r="J25" s="24"/>
    </row>
    <row r="26" spans="2:10">
      <c r="B26" s="9"/>
      <c r="F26" s="7"/>
      <c r="H26" s="7"/>
      <c r="I26" s="14"/>
      <c r="J26" s="24"/>
    </row>
    <row r="27" spans="2:10">
      <c r="B27" s="9"/>
      <c r="F27" s="7"/>
      <c r="H27" s="7"/>
      <c r="I27" s="14"/>
      <c r="J27" s="24"/>
    </row>
    <row r="28" spans="2:10">
      <c r="B28" s="9"/>
      <c r="F28" s="7"/>
      <c r="H28" s="7"/>
      <c r="I28" s="14"/>
      <c r="J28" s="24"/>
    </row>
    <row r="29" spans="2:10">
      <c r="B29" s="9"/>
      <c r="H29" s="7"/>
      <c r="I29" s="14"/>
      <c r="J29" s="24"/>
    </row>
    <row r="30" spans="2:10">
      <c r="B30" s="9"/>
      <c r="H30" s="7"/>
      <c r="I30" s="14"/>
      <c r="J30" s="24"/>
    </row>
    <row r="31" spans="2:10">
      <c r="B31" s="9"/>
      <c r="H31" s="7"/>
      <c r="I31" s="14"/>
      <c r="J31" s="24"/>
    </row>
    <row r="32" spans="2:10">
      <c r="B32" s="9"/>
      <c r="H32" s="7"/>
      <c r="I32" s="14"/>
      <c r="J32" s="24"/>
    </row>
    <row r="33" spans="8:9">
      <c r="H33" s="7"/>
      <c r="I33" s="14"/>
    </row>
    <row r="34" spans="8:9">
      <c r="I34" s="14"/>
    </row>
    <row r="35" spans="8:9">
      <c r="I35" s="14"/>
    </row>
    <row r="36" spans="8:9">
      <c r="I36" s="14"/>
    </row>
    <row r="37" spans="8:9">
      <c r="I37" s="14"/>
    </row>
    <row r="38" spans="8:9">
      <c r="I38" s="14"/>
    </row>
    <row r="39" spans="8:9">
      <c r="I39" s="14"/>
    </row>
    <row r="40" spans="8:9">
      <c r="I40" s="14"/>
    </row>
    <row r="41" spans="8:9">
      <c r="I41" s="14"/>
    </row>
    <row r="42" spans="8:9">
      <c r="I42" s="14"/>
    </row>
    <row r="43" spans="8:9">
      <c r="I43" s="14"/>
    </row>
    <row r="44" spans="8:9">
      <c r="I44" s="14"/>
    </row>
    <row r="45" spans="8:9">
      <c r="I45" s="14"/>
    </row>
    <row r="46" spans="8:9">
      <c r="I46" s="14"/>
    </row>
    <row r="47" spans="8:9">
      <c r="I47" s="14"/>
    </row>
    <row r="48" spans="8:9">
      <c r="I48" s="14"/>
    </row>
    <row r="49" spans="9:9">
      <c r="I49" s="14"/>
    </row>
    <row r="50" spans="9:9">
      <c r="I50" s="14"/>
    </row>
    <row r="51" spans="9:9">
      <c r="I51" s="14"/>
    </row>
    <row r="52" spans="9:9">
      <c r="I52" s="14"/>
    </row>
    <row r="53" spans="9:9">
      <c r="I53" s="14"/>
    </row>
    <row r="54" spans="9:9">
      <c r="I54" s="14"/>
    </row>
    <row r="55" spans="9:9">
      <c r="I55" s="14"/>
    </row>
    <row r="56" spans="9:9">
      <c r="I56" s="14"/>
    </row>
    <row r="57" spans="9:9">
      <c r="I57" s="14"/>
    </row>
    <row r="58" spans="9:9">
      <c r="I58" s="14"/>
    </row>
    <row r="59" spans="9:9">
      <c r="I59" s="14"/>
    </row>
    <row r="60" spans="9:9">
      <c r="I60" s="14"/>
    </row>
    <row r="61" spans="9:9">
      <c r="I61" s="14"/>
    </row>
    <row r="62" spans="9:9">
      <c r="I62" s="14"/>
    </row>
    <row r="63" spans="9:9">
      <c r="I63" s="14"/>
    </row>
    <row r="64" spans="9:9">
      <c r="I64" s="14"/>
    </row>
    <row r="65" spans="9:9">
      <c r="I65" s="14"/>
    </row>
    <row r="66" spans="9:9">
      <c r="I66" s="14"/>
    </row>
    <row r="67" spans="9:9">
      <c r="I67" s="14"/>
    </row>
    <row r="68" spans="9:9">
      <c r="I68" s="14"/>
    </row>
    <row r="69" spans="9:9">
      <c r="I69" s="14"/>
    </row>
    <row r="70" spans="9:9">
      <c r="I70" s="14"/>
    </row>
    <row r="71" spans="9:9">
      <c r="I71" s="14"/>
    </row>
    <row r="72" spans="9:9">
      <c r="I72" s="14"/>
    </row>
    <row r="73" spans="9:9">
      <c r="I73" s="14"/>
    </row>
    <row r="74" spans="9:9">
      <c r="I74" s="14"/>
    </row>
    <row r="75" spans="9:9">
      <c r="I75" s="14"/>
    </row>
    <row r="76" spans="9:9">
      <c r="I76" s="14"/>
    </row>
    <row r="77" spans="9:9">
      <c r="I77" s="14"/>
    </row>
    <row r="78" spans="9:9">
      <c r="I78" s="14"/>
    </row>
    <row r="79" spans="9:9">
      <c r="I79" s="14"/>
    </row>
    <row r="80" spans="9:9">
      <c r="I80" s="14"/>
    </row>
    <row r="81" spans="9:9">
      <c r="I81" s="14"/>
    </row>
    <row r="82" spans="9:9">
      <c r="I82" s="14"/>
    </row>
    <row r="83" spans="9:9">
      <c r="I83" s="14"/>
    </row>
    <row r="84" spans="9:9">
      <c r="I84" s="14"/>
    </row>
    <row r="85" spans="9:9">
      <c r="I85" s="14"/>
    </row>
    <row r="86" spans="9:9">
      <c r="I86" s="14"/>
    </row>
    <row r="87" spans="9:9">
      <c r="I87" s="14"/>
    </row>
    <row r="88" spans="9:9">
      <c r="I88" s="14"/>
    </row>
    <row r="89" spans="9:9">
      <c r="I89" s="14"/>
    </row>
    <row r="90" spans="9:9">
      <c r="I90" s="14"/>
    </row>
    <row r="91" spans="9:9">
      <c r="I91" s="14"/>
    </row>
    <row r="92" spans="9:9">
      <c r="I92" s="14"/>
    </row>
    <row r="93" spans="9:9">
      <c r="I93" s="14"/>
    </row>
    <row r="94" spans="9:9">
      <c r="I94" s="14"/>
    </row>
    <row r="95" spans="9:9">
      <c r="I95" s="14"/>
    </row>
    <row r="96" spans="9:9">
      <c r="I96" s="14"/>
    </row>
    <row r="97" spans="9:9">
      <c r="I97" s="14"/>
    </row>
    <row r="98" spans="9:9">
      <c r="I98" s="14"/>
    </row>
    <row r="99" spans="9:9">
      <c r="I99" s="14"/>
    </row>
    <row r="100" spans="9:9">
      <c r="I100" s="14"/>
    </row>
    <row r="101" spans="9:9">
      <c r="I101" s="14"/>
    </row>
    <row r="102" spans="9:9">
      <c r="I102" s="14"/>
    </row>
    <row r="103" spans="9:9">
      <c r="I103" s="14"/>
    </row>
    <row r="104" spans="9:9">
      <c r="I104" s="14"/>
    </row>
    <row r="105" spans="9:9">
      <c r="I105" s="14"/>
    </row>
    <row r="106" spans="9:9">
      <c r="I106" s="14"/>
    </row>
    <row r="107" spans="9:9">
      <c r="I107" s="14"/>
    </row>
    <row r="108" spans="9:9">
      <c r="I108" s="14"/>
    </row>
    <row r="109" spans="9:9">
      <c r="I109" s="14"/>
    </row>
    <row r="110" spans="9:9">
      <c r="I110" s="14"/>
    </row>
    <row r="111" spans="9:9">
      <c r="I111" s="14"/>
    </row>
    <row r="112" spans="9:9">
      <c r="I112" s="14"/>
    </row>
    <row r="113" spans="9:9">
      <c r="I113" s="14"/>
    </row>
    <row r="114" spans="9:9">
      <c r="I114" s="14"/>
    </row>
    <row r="115" spans="9:9">
      <c r="I115" s="14"/>
    </row>
    <row r="116" spans="9:9">
      <c r="I116" s="14"/>
    </row>
    <row r="117" spans="9:9">
      <c r="I117" s="14"/>
    </row>
    <row r="118" spans="9:9">
      <c r="I118" s="14"/>
    </row>
    <row r="119" spans="9:9">
      <c r="I119" s="14"/>
    </row>
    <row r="120" spans="9:9">
      <c r="I120" s="14"/>
    </row>
    <row r="121" spans="9:9">
      <c r="I121" s="14"/>
    </row>
    <row r="122" spans="9:9">
      <c r="I122" s="14"/>
    </row>
    <row r="123" spans="9:9">
      <c r="I123" s="14"/>
    </row>
    <row r="124" spans="9:9">
      <c r="I124" s="14"/>
    </row>
    <row r="125" spans="9:9">
      <c r="I125" s="14"/>
    </row>
    <row r="126" spans="9:9">
      <c r="I126" s="14"/>
    </row>
    <row r="127" spans="9:9">
      <c r="I127" s="14"/>
    </row>
    <row r="128" spans="9:9">
      <c r="I128" s="14"/>
    </row>
    <row r="129" spans="9:9">
      <c r="I129" s="14"/>
    </row>
    <row r="130" spans="9:9">
      <c r="I130" s="14"/>
    </row>
    <row r="131" spans="9:9">
      <c r="I131" s="14"/>
    </row>
    <row r="132" spans="9:9">
      <c r="I132" s="14"/>
    </row>
    <row r="133" spans="9:9">
      <c r="I133" s="14"/>
    </row>
    <row r="134" spans="9:9">
      <c r="I134" s="14"/>
    </row>
    <row r="135" spans="9:9">
      <c r="I135" s="14"/>
    </row>
    <row r="136" spans="9:9">
      <c r="I136" s="14"/>
    </row>
    <row r="137" spans="9:9">
      <c r="I137" s="14"/>
    </row>
    <row r="138" spans="9:9">
      <c r="I138" s="14"/>
    </row>
    <row r="139" spans="9:9">
      <c r="I139" s="14"/>
    </row>
    <row r="140" spans="9:9">
      <c r="I140" s="14"/>
    </row>
    <row r="141" spans="9:9">
      <c r="I141" s="14"/>
    </row>
    <row r="142" spans="9:9">
      <c r="I142" s="14"/>
    </row>
    <row r="143" spans="9:9">
      <c r="I143" s="14"/>
    </row>
    <row r="144" spans="9:9">
      <c r="I144" s="14"/>
    </row>
    <row r="145" spans="9:9">
      <c r="I145" s="14"/>
    </row>
    <row r="146" spans="9:9">
      <c r="I146" s="14"/>
    </row>
    <row r="147" spans="9:9">
      <c r="I147" s="14"/>
    </row>
    <row r="148" spans="9:9">
      <c r="I148" s="14"/>
    </row>
    <row r="149" spans="9:9">
      <c r="I149" s="14"/>
    </row>
    <row r="150" spans="9:9">
      <c r="I150" s="14"/>
    </row>
    <row r="151" spans="9:9">
      <c r="I151" s="14"/>
    </row>
    <row r="152" spans="9:9">
      <c r="I152" s="14"/>
    </row>
    <row r="153" spans="9:9">
      <c r="I153" s="14"/>
    </row>
    <row r="154" spans="9:9">
      <c r="I154" s="14"/>
    </row>
    <row r="155" spans="9:9">
      <c r="I155" s="14"/>
    </row>
    <row r="156" spans="9:9">
      <c r="I156" s="14"/>
    </row>
    <row r="157" spans="9:9">
      <c r="I157" s="14"/>
    </row>
    <row r="158" spans="9:9">
      <c r="I158" s="14"/>
    </row>
    <row r="159" spans="9:9">
      <c r="I159" s="14"/>
    </row>
    <row r="160" spans="9:9">
      <c r="I160" s="14"/>
    </row>
    <row r="161" spans="9:9">
      <c r="I161" s="14"/>
    </row>
    <row r="162" spans="9:9">
      <c r="I162" s="14"/>
    </row>
    <row r="163" spans="9:9">
      <c r="I163" s="14"/>
    </row>
    <row r="164" spans="9:9">
      <c r="I164" s="14"/>
    </row>
    <row r="165" spans="9:9">
      <c r="I165" s="14"/>
    </row>
    <row r="166" spans="9:9">
      <c r="I166" s="14"/>
    </row>
    <row r="167" spans="9:9">
      <c r="I167" s="14"/>
    </row>
    <row r="168" spans="9:9">
      <c r="I168" s="14"/>
    </row>
    <row r="169" spans="9:9">
      <c r="I169" s="14"/>
    </row>
    <row r="170" spans="9:9">
      <c r="I170" s="14"/>
    </row>
    <row r="171" spans="9:9">
      <c r="I171" s="14"/>
    </row>
    <row r="172" spans="9:9">
      <c r="I172" s="14"/>
    </row>
    <row r="173" spans="9:9">
      <c r="I173" s="14"/>
    </row>
    <row r="174" spans="9:9">
      <c r="I174" s="14"/>
    </row>
    <row r="175" spans="9:9">
      <c r="I175" s="14"/>
    </row>
    <row r="176" spans="9:9">
      <c r="I176" s="14"/>
    </row>
    <row r="177" spans="9:9">
      <c r="I177" s="14"/>
    </row>
    <row r="178" spans="9:9">
      <c r="I178" s="14"/>
    </row>
    <row r="179" spans="9:9">
      <c r="I179" s="14"/>
    </row>
    <row r="180" spans="9:9">
      <c r="I180" s="14"/>
    </row>
    <row r="181" spans="9:9">
      <c r="I181" s="14"/>
    </row>
    <row r="182" spans="9:9">
      <c r="I182" s="14"/>
    </row>
    <row r="183" spans="9:9">
      <c r="I183" s="14"/>
    </row>
    <row r="184" spans="9:9">
      <c r="I184" s="14"/>
    </row>
    <row r="185" spans="9:9">
      <c r="I185" s="14"/>
    </row>
    <row r="186" spans="9:9">
      <c r="I186" s="14"/>
    </row>
    <row r="187" spans="9:9">
      <c r="I187" s="14"/>
    </row>
    <row r="188" spans="9:9">
      <c r="I188" s="14"/>
    </row>
    <row r="189" spans="9:9">
      <c r="I189" s="14"/>
    </row>
    <row r="190" spans="9:9">
      <c r="I190" s="14"/>
    </row>
    <row r="191" spans="9:9">
      <c r="I191" s="14"/>
    </row>
    <row r="192" spans="9:9">
      <c r="I192" s="14"/>
    </row>
    <row r="193" spans="9:9">
      <c r="I193" s="14"/>
    </row>
    <row r="194" spans="9:9">
      <c r="I194" s="14"/>
    </row>
    <row r="195" spans="9:9">
      <c r="I195" s="14"/>
    </row>
    <row r="196" spans="9:9">
      <c r="I196" s="14"/>
    </row>
    <row r="197" spans="9:9">
      <c r="I197" s="14"/>
    </row>
    <row r="198" spans="9:9">
      <c r="I198" s="14"/>
    </row>
    <row r="199" spans="9:9">
      <c r="I199" s="14"/>
    </row>
    <row r="200" spans="9:9">
      <c r="I200" s="14"/>
    </row>
    <row r="201" spans="9:9">
      <c r="I201" s="14"/>
    </row>
    <row r="202" spans="9:9">
      <c r="I202" s="14"/>
    </row>
    <row r="203" spans="9:9">
      <c r="I203" s="14"/>
    </row>
    <row r="204" spans="9:9">
      <c r="I204" s="14"/>
    </row>
    <row r="205" spans="9:9">
      <c r="I205" s="14"/>
    </row>
    <row r="206" spans="9:9">
      <c r="I206" s="14"/>
    </row>
    <row r="207" spans="9:9">
      <c r="I207" s="14"/>
    </row>
    <row r="208" spans="9:9">
      <c r="I208" s="14"/>
    </row>
    <row r="209" spans="9:9">
      <c r="I209" s="14"/>
    </row>
    <row r="210" spans="9:9">
      <c r="I210" s="14"/>
    </row>
    <row r="211" spans="9:9">
      <c r="I211" s="14"/>
    </row>
    <row r="212" spans="9:9">
      <c r="I212" s="14"/>
    </row>
    <row r="213" spans="9:9">
      <c r="I213" s="14"/>
    </row>
    <row r="214" spans="9:9">
      <c r="I214" s="14"/>
    </row>
    <row r="215" spans="9:9">
      <c r="I215" s="14"/>
    </row>
    <row r="216" spans="9:9">
      <c r="I216" s="14"/>
    </row>
    <row r="217" spans="9:9">
      <c r="I217" s="14"/>
    </row>
    <row r="218" spans="9:9">
      <c r="I218" s="14"/>
    </row>
    <row r="219" spans="9:9">
      <c r="I219" s="14"/>
    </row>
    <row r="220" spans="9:9">
      <c r="I220" s="14"/>
    </row>
    <row r="221" spans="9:9">
      <c r="I221" s="14"/>
    </row>
    <row r="222" spans="9:9">
      <c r="I222" s="14"/>
    </row>
    <row r="223" spans="9:9">
      <c r="I223" s="14"/>
    </row>
    <row r="224" spans="9:9">
      <c r="I224" s="14"/>
    </row>
    <row r="225" spans="9:9">
      <c r="I225" s="14"/>
    </row>
    <row r="226" spans="9:9">
      <c r="I226" s="14"/>
    </row>
    <row r="227" spans="9:9">
      <c r="I227" s="14"/>
    </row>
    <row r="228" spans="9:9">
      <c r="I228" s="14"/>
    </row>
    <row r="229" spans="9:9">
      <c r="I229" s="14"/>
    </row>
    <row r="230" spans="9:9">
      <c r="I230" s="14"/>
    </row>
    <row r="231" spans="9:9">
      <c r="I231" s="14"/>
    </row>
    <row r="232" spans="9:9">
      <c r="I232" s="14"/>
    </row>
    <row r="233" spans="9:9">
      <c r="I233" s="14"/>
    </row>
    <row r="234" spans="9:9">
      <c r="I234" s="14"/>
    </row>
    <row r="235" spans="9:9">
      <c r="I235" s="14"/>
    </row>
    <row r="236" spans="9:9">
      <c r="I236" s="14"/>
    </row>
    <row r="237" spans="9:9">
      <c r="I237" s="14"/>
    </row>
    <row r="238" spans="9:9">
      <c r="I238" s="14"/>
    </row>
    <row r="239" spans="9:9">
      <c r="I239" s="14"/>
    </row>
    <row r="240" spans="9:9">
      <c r="I240" s="14"/>
    </row>
    <row r="241" spans="9:9">
      <c r="I241" s="14"/>
    </row>
    <row r="242" spans="9:9">
      <c r="I242" s="14"/>
    </row>
    <row r="243" spans="9:9">
      <c r="I243" s="14"/>
    </row>
    <row r="244" spans="9:9">
      <c r="I244" s="14"/>
    </row>
    <row r="245" spans="9:9">
      <c r="I245" s="14"/>
    </row>
    <row r="246" spans="9:9">
      <c r="I246" s="14"/>
    </row>
    <row r="247" spans="9:9">
      <c r="I247" s="14"/>
    </row>
    <row r="248" spans="9:9">
      <c r="I248" s="14"/>
    </row>
    <row r="249" spans="9:9">
      <c r="I249" s="14"/>
    </row>
    <row r="250" spans="9:9">
      <c r="I250" s="14"/>
    </row>
    <row r="251" spans="9:9">
      <c r="I251" s="14"/>
    </row>
    <row r="252" spans="9:9">
      <c r="I252" s="14"/>
    </row>
    <row r="253" spans="9:9">
      <c r="I253" s="14"/>
    </row>
    <row r="254" spans="9:9">
      <c r="I254" s="14"/>
    </row>
    <row r="255" spans="9:9">
      <c r="I255" s="14"/>
    </row>
    <row r="256" spans="9:9">
      <c r="I256" s="14"/>
    </row>
    <row r="257" spans="9:9">
      <c r="I257" s="14"/>
    </row>
    <row r="258" spans="9:9">
      <c r="I258" s="14"/>
    </row>
    <row r="259" spans="9:9">
      <c r="I259" s="14"/>
    </row>
    <row r="260" spans="9:9">
      <c r="I260" s="14"/>
    </row>
    <row r="261" spans="9:9">
      <c r="I261" s="14"/>
    </row>
    <row r="262" spans="9:9">
      <c r="I262" s="14"/>
    </row>
    <row r="263" spans="9:9">
      <c r="I263" s="14"/>
    </row>
    <row r="264" spans="9:9">
      <c r="I264" s="14"/>
    </row>
    <row r="265" spans="9:9">
      <c r="I265" s="14"/>
    </row>
    <row r="266" spans="9:9">
      <c r="I266" s="14"/>
    </row>
    <row r="267" spans="9:9">
      <c r="I267" s="14"/>
    </row>
    <row r="268" spans="9:9">
      <c r="I268" s="14"/>
    </row>
    <row r="269" spans="9:9">
      <c r="I269" s="14"/>
    </row>
    <row r="270" spans="9:9">
      <c r="I270" s="14"/>
    </row>
    <row r="271" spans="9:9">
      <c r="I271" s="14"/>
    </row>
    <row r="272" spans="9:9">
      <c r="I272" s="14"/>
    </row>
    <row r="273" spans="9:9">
      <c r="I273" s="14"/>
    </row>
    <row r="274" spans="9:9">
      <c r="I274" s="14"/>
    </row>
    <row r="275" spans="9:9">
      <c r="I275" s="14"/>
    </row>
    <row r="276" spans="9:9">
      <c r="I276" s="14"/>
    </row>
    <row r="277" spans="9:9">
      <c r="I277" s="14"/>
    </row>
    <row r="278" spans="9:9">
      <c r="I278" s="14"/>
    </row>
    <row r="279" spans="9:9">
      <c r="I279" s="14"/>
    </row>
    <row r="280" spans="9:9">
      <c r="I280" s="14"/>
    </row>
    <row r="281" spans="9:9">
      <c r="I281" s="14"/>
    </row>
    <row r="282" spans="9:9">
      <c r="I282" s="14"/>
    </row>
    <row r="283" spans="9:9">
      <c r="I283" s="14"/>
    </row>
    <row r="284" spans="9:9">
      <c r="I284" s="14"/>
    </row>
    <row r="285" spans="9:9">
      <c r="I285" s="14"/>
    </row>
    <row r="286" spans="9:9">
      <c r="I286" s="14"/>
    </row>
    <row r="287" spans="9:9">
      <c r="I287" s="14"/>
    </row>
    <row r="288" spans="9:9">
      <c r="I288" s="14"/>
    </row>
    <row r="289" spans="9:9">
      <c r="I289" s="14"/>
    </row>
    <row r="290" spans="9:9">
      <c r="I290" s="14"/>
    </row>
    <row r="291" spans="9:9">
      <c r="I291" s="14"/>
    </row>
    <row r="292" spans="9:9">
      <c r="I292" s="14"/>
    </row>
    <row r="293" spans="9:9">
      <c r="I293" s="14"/>
    </row>
    <row r="294" spans="9:9">
      <c r="I294" s="14"/>
    </row>
    <row r="295" spans="9:9">
      <c r="I295" s="14"/>
    </row>
    <row r="296" spans="9:9">
      <c r="I296" s="14"/>
    </row>
    <row r="297" spans="9:9">
      <c r="I297" s="14"/>
    </row>
    <row r="298" spans="9:9">
      <c r="I298" s="14"/>
    </row>
    <row r="299" spans="9:9">
      <c r="I299" s="14"/>
    </row>
    <row r="300" spans="9:9">
      <c r="I300" s="14"/>
    </row>
    <row r="301" spans="9:9">
      <c r="I301" s="14"/>
    </row>
    <row r="302" spans="9:9">
      <c r="I302" s="14"/>
    </row>
    <row r="303" spans="9:9">
      <c r="I303" s="14"/>
    </row>
    <row r="304" spans="9:9">
      <c r="I304" s="14"/>
    </row>
    <row r="305" spans="9:9">
      <c r="I305" s="14"/>
    </row>
    <row r="306" spans="9:9">
      <c r="I306" s="14"/>
    </row>
    <row r="307" spans="9:9">
      <c r="I307" s="14"/>
    </row>
    <row r="308" spans="9:9">
      <c r="I308" s="14"/>
    </row>
    <row r="309" spans="9:9">
      <c r="I309" s="14"/>
    </row>
    <row r="310" spans="9:9">
      <c r="I310" s="14"/>
    </row>
    <row r="311" spans="9:9">
      <c r="I311" s="14"/>
    </row>
    <row r="312" spans="9:9">
      <c r="I312" s="14"/>
    </row>
    <row r="313" spans="9:9">
      <c r="I313" s="14"/>
    </row>
    <row r="314" spans="9:9">
      <c r="I314" s="14"/>
    </row>
    <row r="315" spans="9:9">
      <c r="I315" s="14"/>
    </row>
    <row r="316" spans="9:9">
      <c r="I316" s="14"/>
    </row>
    <row r="317" spans="9:9">
      <c r="I317" s="14"/>
    </row>
    <row r="318" spans="9:9">
      <c r="I318" s="14"/>
    </row>
    <row r="319" spans="9:9">
      <c r="I319" s="14"/>
    </row>
    <row r="320" spans="9:9">
      <c r="I320" s="14"/>
    </row>
    <row r="321" spans="9:9">
      <c r="I321" s="14"/>
    </row>
    <row r="322" spans="9:9">
      <c r="I322" s="14"/>
    </row>
    <row r="323" spans="9:9">
      <c r="I323" s="14"/>
    </row>
    <row r="324" spans="9:9">
      <c r="I324" s="14"/>
    </row>
    <row r="325" spans="9:9">
      <c r="I325" s="14"/>
    </row>
    <row r="326" spans="9:9">
      <c r="I326" s="14"/>
    </row>
    <row r="327" spans="9:9">
      <c r="I327" s="14"/>
    </row>
    <row r="328" spans="9:9">
      <c r="I328" s="14"/>
    </row>
    <row r="329" spans="9:9">
      <c r="I329" s="14"/>
    </row>
    <row r="330" spans="9:9">
      <c r="I330" s="14"/>
    </row>
    <row r="331" spans="9:9">
      <c r="I331" s="14"/>
    </row>
    <row r="332" spans="9:9">
      <c r="I332" s="14"/>
    </row>
    <row r="333" spans="9:9">
      <c r="I333" s="14"/>
    </row>
    <row r="334" spans="9:9">
      <c r="I334" s="14"/>
    </row>
    <row r="335" spans="9:9">
      <c r="I335" s="14"/>
    </row>
    <row r="336" spans="9:9">
      <c r="I336" s="14"/>
    </row>
    <row r="337" spans="9:9">
      <c r="I337" s="14"/>
    </row>
    <row r="338" spans="9:9">
      <c r="I338" s="14"/>
    </row>
    <row r="339" spans="9:9">
      <c r="I339" s="14"/>
    </row>
    <row r="340" spans="9:9">
      <c r="I340" s="14"/>
    </row>
    <row r="341" spans="9:9">
      <c r="I341" s="14"/>
    </row>
    <row r="342" spans="9:9">
      <c r="I342" s="14"/>
    </row>
    <row r="343" spans="9:9">
      <c r="I343" s="14"/>
    </row>
    <row r="344" spans="9:9">
      <c r="I344" s="14"/>
    </row>
    <row r="345" spans="9:9">
      <c r="I345" s="14"/>
    </row>
    <row r="346" spans="9:9">
      <c r="I346" s="14"/>
    </row>
    <row r="347" spans="9:9">
      <c r="I347" s="14"/>
    </row>
    <row r="348" spans="9:9">
      <c r="I348" s="14"/>
    </row>
    <row r="349" spans="9:9">
      <c r="I349" s="14"/>
    </row>
    <row r="350" spans="9:9">
      <c r="I350" s="14"/>
    </row>
    <row r="351" spans="9:9">
      <c r="I351" s="14"/>
    </row>
    <row r="352" spans="9:9">
      <c r="I352" s="14"/>
    </row>
    <row r="353" spans="9:9">
      <c r="I353" s="14"/>
    </row>
    <row r="354" spans="9:9">
      <c r="I354" s="14"/>
    </row>
    <row r="355" spans="9:9">
      <c r="I355" s="14"/>
    </row>
    <row r="356" spans="9:9">
      <c r="I356" s="14"/>
    </row>
    <row r="357" spans="9:9">
      <c r="I357" s="14"/>
    </row>
    <row r="358" spans="9:9">
      <c r="I358" s="14"/>
    </row>
    <row r="359" spans="9:9">
      <c r="I359" s="14"/>
    </row>
    <row r="360" spans="9:9">
      <c r="I360" s="14"/>
    </row>
    <row r="361" spans="9:9">
      <c r="I361" s="14"/>
    </row>
    <row r="362" spans="9:9">
      <c r="I362" s="14"/>
    </row>
    <row r="363" spans="9:9">
      <c r="I363" s="14"/>
    </row>
    <row r="364" spans="9:9">
      <c r="I364" s="14"/>
    </row>
    <row r="365" spans="9:9">
      <c r="I365" s="14"/>
    </row>
    <row r="366" spans="9:9">
      <c r="I366" s="14"/>
    </row>
    <row r="367" spans="9:9">
      <c r="I367" s="14"/>
    </row>
    <row r="368" spans="9:9">
      <c r="I368" s="14"/>
    </row>
    <row r="369" spans="9:9">
      <c r="I369" s="14"/>
    </row>
    <row r="370" spans="9:9">
      <c r="I370" s="14"/>
    </row>
    <row r="371" spans="9:9">
      <c r="I371" s="14"/>
    </row>
    <row r="372" spans="9:9">
      <c r="I372" s="14"/>
    </row>
    <row r="373" spans="9:9">
      <c r="I373" s="14"/>
    </row>
    <row r="374" spans="9:9">
      <c r="I374" s="14"/>
    </row>
    <row r="375" spans="9:9">
      <c r="I375" s="14"/>
    </row>
    <row r="376" spans="9:9">
      <c r="I376" s="14"/>
    </row>
    <row r="377" spans="9:9">
      <c r="I377" s="14"/>
    </row>
    <row r="378" spans="9:9">
      <c r="I378" s="14"/>
    </row>
    <row r="379" spans="9:9">
      <c r="I379" s="14"/>
    </row>
    <row r="380" spans="9:9">
      <c r="I380" s="14"/>
    </row>
    <row r="381" spans="9:9">
      <c r="I381" s="14"/>
    </row>
    <row r="382" spans="9:9">
      <c r="I382" s="14"/>
    </row>
    <row r="383" spans="9:9">
      <c r="I383" s="14"/>
    </row>
    <row r="384" spans="9:9">
      <c r="I384" s="14"/>
    </row>
    <row r="385" spans="9:9">
      <c r="I385" s="14"/>
    </row>
    <row r="386" spans="9:9">
      <c r="I386" s="14"/>
    </row>
    <row r="387" spans="9:9">
      <c r="I387" s="14"/>
    </row>
    <row r="388" spans="9:9">
      <c r="I388" s="14"/>
    </row>
    <row r="389" spans="9:9">
      <c r="I389" s="14"/>
    </row>
    <row r="390" spans="9:9">
      <c r="I390" s="14"/>
    </row>
    <row r="391" spans="9:9">
      <c r="I391" s="14"/>
    </row>
    <row r="392" spans="9:9">
      <c r="I392" s="14"/>
    </row>
    <row r="393" spans="9:9">
      <c r="I393" s="14"/>
    </row>
    <row r="394" spans="9:9">
      <c r="I394" s="14"/>
    </row>
    <row r="395" spans="9:9">
      <c r="I395" s="14"/>
    </row>
    <row r="396" spans="9:9">
      <c r="I396" s="14"/>
    </row>
    <row r="397" spans="9:9">
      <c r="I397" s="14"/>
    </row>
    <row r="398" spans="9:9">
      <c r="I398" s="14"/>
    </row>
    <row r="399" spans="9:9">
      <c r="I399" s="14"/>
    </row>
    <row r="400" spans="9:9">
      <c r="I400" s="14"/>
    </row>
    <row r="401" spans="9:9">
      <c r="I401" s="14"/>
    </row>
    <row r="402" spans="9:9">
      <c r="I402" s="14"/>
    </row>
    <row r="403" spans="9:9">
      <c r="I403" s="14"/>
    </row>
    <row r="404" spans="9:9">
      <c r="I404" s="14"/>
    </row>
    <row r="405" spans="9:9">
      <c r="I405" s="14"/>
    </row>
    <row r="406" spans="9:9">
      <c r="I406" s="14"/>
    </row>
    <row r="407" spans="9:9">
      <c r="I407" s="14"/>
    </row>
    <row r="408" spans="9:9">
      <c r="I408" s="14"/>
    </row>
    <row r="409" spans="9:9">
      <c r="I409" s="14"/>
    </row>
    <row r="410" spans="9:9">
      <c r="I410" s="14"/>
    </row>
    <row r="411" spans="9:9">
      <c r="I411" s="14"/>
    </row>
    <row r="412" spans="9:9">
      <c r="I412" s="14"/>
    </row>
    <row r="413" spans="9:9">
      <c r="I413" s="14"/>
    </row>
    <row r="414" spans="9:9">
      <c r="I414" s="14"/>
    </row>
    <row r="415" spans="9:9">
      <c r="I415" s="14"/>
    </row>
    <row r="416" spans="9:9">
      <c r="I416" s="14"/>
    </row>
    <row r="417" spans="9:9">
      <c r="I417" s="14"/>
    </row>
    <row r="418" spans="9:9">
      <c r="I418" s="14"/>
    </row>
    <row r="419" spans="9:9">
      <c r="I419" s="14"/>
    </row>
    <row r="420" spans="9:9">
      <c r="I420" s="14"/>
    </row>
    <row r="421" spans="9:9">
      <c r="I421" s="14"/>
    </row>
    <row r="422" spans="9:9">
      <c r="I422" s="14"/>
    </row>
    <row r="423" spans="9:9">
      <c r="I423" s="14"/>
    </row>
    <row r="424" spans="9:9">
      <c r="I424" s="14"/>
    </row>
    <row r="425" spans="9:9">
      <c r="I425" s="14"/>
    </row>
    <row r="426" spans="9:9">
      <c r="I426" s="14"/>
    </row>
    <row r="427" spans="9:9">
      <c r="I427" s="14"/>
    </row>
    <row r="428" spans="9:9">
      <c r="I428" s="14"/>
    </row>
    <row r="429" spans="9:9">
      <c r="I429" s="14"/>
    </row>
    <row r="430" spans="9:9">
      <c r="I430" s="14"/>
    </row>
    <row r="431" spans="9:9">
      <c r="I431" s="14"/>
    </row>
    <row r="432" spans="9:9">
      <c r="I432" s="14"/>
    </row>
    <row r="433" spans="9:9">
      <c r="I433" s="14"/>
    </row>
    <row r="434" spans="9:9">
      <c r="I434" s="14"/>
    </row>
    <row r="435" spans="9:9">
      <c r="I435" s="14"/>
    </row>
    <row r="436" spans="9:9">
      <c r="I436" s="14"/>
    </row>
    <row r="437" spans="9:9">
      <c r="I437" s="14"/>
    </row>
    <row r="438" spans="9:9">
      <c r="I438" s="14"/>
    </row>
    <row r="439" spans="9:9">
      <c r="I439" s="14"/>
    </row>
    <row r="440" spans="9:9">
      <c r="I440" s="14"/>
    </row>
    <row r="441" spans="9:9">
      <c r="I441" s="14"/>
    </row>
    <row r="442" spans="9:9">
      <c r="I442" s="14"/>
    </row>
    <row r="443" spans="9:9">
      <c r="I443" s="14"/>
    </row>
    <row r="444" spans="9:9">
      <c r="I444" s="14"/>
    </row>
    <row r="445" spans="9:9">
      <c r="I445" s="14"/>
    </row>
    <row r="446" spans="9:9">
      <c r="I446" s="14"/>
    </row>
    <row r="447" spans="9:9">
      <c r="I447" s="14"/>
    </row>
    <row r="448" spans="9:9">
      <c r="I448" s="14"/>
    </row>
    <row r="449" spans="9:9">
      <c r="I449" s="14"/>
    </row>
    <row r="450" spans="9:9">
      <c r="I450" s="14"/>
    </row>
    <row r="451" spans="9:9">
      <c r="I451" s="14"/>
    </row>
    <row r="452" spans="9:9">
      <c r="I452" s="14"/>
    </row>
    <row r="453" spans="9:9">
      <c r="I453" s="14"/>
    </row>
    <row r="454" spans="9:9">
      <c r="I454" s="14"/>
    </row>
    <row r="455" spans="9:9">
      <c r="I455" s="14"/>
    </row>
    <row r="456" spans="9:9">
      <c r="I456" s="14"/>
    </row>
    <row r="457" spans="9:9">
      <c r="I457" s="14"/>
    </row>
    <row r="458" spans="9:9">
      <c r="I458" s="14"/>
    </row>
    <row r="459" spans="9:9">
      <c r="I459" s="14"/>
    </row>
    <row r="460" spans="9:9">
      <c r="I460" s="14"/>
    </row>
    <row r="461" spans="9:9">
      <c r="I461" s="14"/>
    </row>
    <row r="462" spans="9:9">
      <c r="I462" s="14"/>
    </row>
    <row r="463" spans="9:9">
      <c r="I463" s="14"/>
    </row>
    <row r="464" spans="9:9">
      <c r="I464" s="14"/>
    </row>
    <row r="465" spans="9:9">
      <c r="I465" s="14"/>
    </row>
    <row r="466" spans="9:9">
      <c r="I466" s="14"/>
    </row>
    <row r="467" spans="9:9">
      <c r="I467" s="14"/>
    </row>
    <row r="468" spans="9:9">
      <c r="I468" s="14"/>
    </row>
    <row r="469" spans="9:9">
      <c r="I469" s="14"/>
    </row>
    <row r="470" spans="9:9">
      <c r="I470" s="14"/>
    </row>
    <row r="471" spans="9:9">
      <c r="I471" s="14"/>
    </row>
    <row r="472" spans="9:9">
      <c r="I472" s="14"/>
    </row>
    <row r="473" spans="9:9">
      <c r="I473" s="14"/>
    </row>
    <row r="474" spans="9:9">
      <c r="I474" s="14"/>
    </row>
    <row r="475" spans="9:9">
      <c r="I475" s="14"/>
    </row>
    <row r="476" spans="9:9">
      <c r="I476" s="14"/>
    </row>
    <row r="477" spans="9:9">
      <c r="I477" s="14"/>
    </row>
    <row r="478" spans="9:9">
      <c r="I478" s="14"/>
    </row>
    <row r="479" spans="9:9">
      <c r="I479" s="14"/>
    </row>
    <row r="480" spans="9:9">
      <c r="I480" s="14"/>
    </row>
    <row r="481" spans="9:9">
      <c r="I481" s="14"/>
    </row>
    <row r="482" spans="9:9">
      <c r="I482" s="14"/>
    </row>
    <row r="483" spans="9:9">
      <c r="I483" s="14"/>
    </row>
    <row r="484" spans="9:9">
      <c r="I484" s="14"/>
    </row>
    <row r="485" spans="9:9">
      <c r="I485" s="14"/>
    </row>
    <row r="486" spans="9:9">
      <c r="I486" s="14"/>
    </row>
    <row r="487" spans="9:9">
      <c r="I487" s="14"/>
    </row>
    <row r="488" spans="9:9">
      <c r="I488" s="14"/>
    </row>
    <row r="489" spans="9:9">
      <c r="I489" s="14"/>
    </row>
    <row r="490" spans="9:9">
      <c r="I490" s="14"/>
    </row>
    <row r="491" spans="9:9">
      <c r="I491" s="14"/>
    </row>
    <row r="492" spans="9:9">
      <c r="I492" s="14"/>
    </row>
    <row r="493" spans="9:9">
      <c r="I493" s="14"/>
    </row>
    <row r="494" spans="9:9">
      <c r="I494" s="14"/>
    </row>
    <row r="495" spans="9:9">
      <c r="I495" s="14"/>
    </row>
    <row r="496" spans="9:9">
      <c r="I496" s="14"/>
    </row>
    <row r="497" spans="9:9">
      <c r="I497" s="14"/>
    </row>
    <row r="498" spans="9:9">
      <c r="I498" s="14"/>
    </row>
    <row r="499" spans="9:9">
      <c r="I499" s="14"/>
    </row>
    <row r="500" spans="9:9">
      <c r="I500" s="14"/>
    </row>
    <row r="501" spans="9:9">
      <c r="I501" s="14"/>
    </row>
    <row r="502" spans="9:9">
      <c r="I502" s="14"/>
    </row>
    <row r="503" spans="9:9">
      <c r="I503" s="14"/>
    </row>
    <row r="504" spans="9:9">
      <c r="I504" s="14"/>
    </row>
    <row r="505" spans="9:9">
      <c r="I505" s="14"/>
    </row>
    <row r="506" spans="9:9">
      <c r="I506" s="14"/>
    </row>
    <row r="507" spans="9:9">
      <c r="I507" s="14"/>
    </row>
    <row r="508" spans="9:9">
      <c r="I508" s="14"/>
    </row>
    <row r="509" spans="9:9">
      <c r="I509" s="14"/>
    </row>
    <row r="510" spans="9:9">
      <c r="I510" s="14"/>
    </row>
    <row r="511" spans="9:9">
      <c r="I511" s="14"/>
    </row>
    <row r="512" spans="9:9">
      <c r="I512" s="14"/>
    </row>
    <row r="513" spans="9:9">
      <c r="I513" s="14"/>
    </row>
    <row r="514" spans="9:9">
      <c r="I514" s="14"/>
    </row>
    <row r="515" spans="9:9">
      <c r="I515" s="14"/>
    </row>
    <row r="516" spans="9:9">
      <c r="I516" s="14"/>
    </row>
    <row r="517" spans="9:9">
      <c r="I517" s="14"/>
    </row>
    <row r="518" spans="9:9">
      <c r="I518" s="14"/>
    </row>
    <row r="519" spans="9:9">
      <c r="I519" s="14"/>
    </row>
    <row r="520" spans="9:9">
      <c r="I520" s="14"/>
    </row>
    <row r="521" spans="9:9">
      <c r="I521" s="14"/>
    </row>
    <row r="522" spans="9:9">
      <c r="I522" s="14"/>
    </row>
    <row r="523" spans="9:9">
      <c r="I523" s="14"/>
    </row>
    <row r="524" spans="9:9">
      <c r="I524" s="14"/>
    </row>
    <row r="525" spans="9:9">
      <c r="I525" s="14"/>
    </row>
    <row r="526" spans="9:9">
      <c r="I526" s="14"/>
    </row>
    <row r="527" spans="9:9">
      <c r="I527" s="14"/>
    </row>
    <row r="528" spans="9:9">
      <c r="I528" s="14"/>
    </row>
    <row r="529" spans="9:9">
      <c r="I529" s="14"/>
    </row>
    <row r="530" spans="9:9">
      <c r="I530" s="14"/>
    </row>
    <row r="531" spans="9:9">
      <c r="I531" s="14"/>
    </row>
    <row r="532" spans="9:9">
      <c r="I532" s="14"/>
    </row>
    <row r="533" spans="9:9">
      <c r="I533" s="14"/>
    </row>
    <row r="534" spans="9:9">
      <c r="I534" s="14"/>
    </row>
    <row r="535" spans="9:9">
      <c r="I535" s="14"/>
    </row>
    <row r="536" spans="9:9">
      <c r="I536" s="14"/>
    </row>
    <row r="537" spans="9:9">
      <c r="I537" s="14"/>
    </row>
    <row r="538" spans="9:9">
      <c r="I538" s="14"/>
    </row>
    <row r="539" spans="9:9">
      <c r="I539" s="14"/>
    </row>
    <row r="540" spans="9:9">
      <c r="I540" s="14"/>
    </row>
    <row r="541" spans="9:9">
      <c r="I541" s="14"/>
    </row>
    <row r="542" spans="9:9">
      <c r="I542" s="14"/>
    </row>
    <row r="543" spans="9:9">
      <c r="I543" s="14"/>
    </row>
    <row r="544" spans="9:9">
      <c r="I544" s="14"/>
    </row>
    <row r="545" spans="9:9">
      <c r="I545" s="14"/>
    </row>
    <row r="546" spans="9:9">
      <c r="I546" s="14"/>
    </row>
    <row r="547" spans="9:9">
      <c r="I547" s="14"/>
    </row>
    <row r="548" spans="9:9">
      <c r="I548" s="14"/>
    </row>
    <row r="549" spans="9:9">
      <c r="I549" s="14"/>
    </row>
    <row r="550" spans="9:9">
      <c r="I550" s="14"/>
    </row>
    <row r="551" spans="9:9">
      <c r="I551" s="14"/>
    </row>
    <row r="552" spans="9:9">
      <c r="I552" s="14"/>
    </row>
    <row r="553" spans="9:9">
      <c r="I553" s="14"/>
    </row>
    <row r="554" spans="9:9">
      <c r="I554" s="14"/>
    </row>
    <row r="555" spans="9:9">
      <c r="I555" s="14"/>
    </row>
    <row r="556" spans="9:9">
      <c r="I556" s="14"/>
    </row>
    <row r="557" spans="9:9">
      <c r="I557" s="14"/>
    </row>
    <row r="558" spans="9:9">
      <c r="I558" s="14"/>
    </row>
    <row r="559" spans="9:9">
      <c r="I559" s="14"/>
    </row>
    <row r="560" spans="9:9">
      <c r="I560" s="14"/>
    </row>
    <row r="561" spans="9:9">
      <c r="I561" s="14"/>
    </row>
    <row r="562" spans="9:9">
      <c r="I562" s="14"/>
    </row>
    <row r="563" spans="9:9">
      <c r="I563" s="14"/>
    </row>
    <row r="564" spans="9:9">
      <c r="I564" s="14"/>
    </row>
    <row r="565" spans="9:9">
      <c r="I565" s="14"/>
    </row>
    <row r="566" spans="9:9">
      <c r="I566" s="14"/>
    </row>
    <row r="567" spans="9:9">
      <c r="I567" s="14"/>
    </row>
    <row r="568" spans="9:9">
      <c r="I568" s="14"/>
    </row>
    <row r="569" spans="9:9">
      <c r="I569" s="14"/>
    </row>
    <row r="570" spans="9:9">
      <c r="I570" s="14"/>
    </row>
    <row r="571" spans="9:9">
      <c r="I571" s="14"/>
    </row>
    <row r="572" spans="9:9">
      <c r="I572" s="14"/>
    </row>
    <row r="573" spans="9:9">
      <c r="I573" s="14"/>
    </row>
    <row r="574" spans="9:9">
      <c r="I574" s="14"/>
    </row>
    <row r="575" spans="9:9">
      <c r="I575" s="14"/>
    </row>
    <row r="576" spans="9:9">
      <c r="I576" s="14"/>
    </row>
    <row r="577" spans="9:9">
      <c r="I577" s="14"/>
    </row>
    <row r="578" spans="9:9">
      <c r="I578" s="14"/>
    </row>
    <row r="579" spans="9:9">
      <c r="I579" s="14"/>
    </row>
    <row r="580" spans="9:9">
      <c r="I580" s="14"/>
    </row>
    <row r="581" spans="9:9">
      <c r="I581" s="14"/>
    </row>
    <row r="582" spans="9:9">
      <c r="I582" s="14"/>
    </row>
    <row r="583" spans="9:9">
      <c r="I583" s="14"/>
    </row>
    <row r="584" spans="9:9">
      <c r="I584" s="14"/>
    </row>
    <row r="585" spans="9:9">
      <c r="I585" s="14"/>
    </row>
    <row r="586" spans="9:9">
      <c r="I586" s="14"/>
    </row>
    <row r="587" spans="9:9">
      <c r="I587" s="14"/>
    </row>
    <row r="588" spans="9:9">
      <c r="I588" s="14"/>
    </row>
    <row r="589" spans="9:9">
      <c r="I589" s="14"/>
    </row>
    <row r="590" spans="9:9">
      <c r="I590" s="14"/>
    </row>
    <row r="591" spans="9:9">
      <c r="I591" s="14"/>
    </row>
    <row r="592" spans="9:9">
      <c r="I592" s="14"/>
    </row>
    <row r="593" spans="9:9">
      <c r="I593" s="14"/>
    </row>
    <row r="594" spans="9:9">
      <c r="I594" s="14"/>
    </row>
    <row r="595" spans="9:9">
      <c r="I595" s="14"/>
    </row>
    <row r="596" spans="9:9">
      <c r="I596" s="14"/>
    </row>
    <row r="597" spans="9:9">
      <c r="I597" s="14"/>
    </row>
    <row r="598" spans="9:9">
      <c r="I598" s="14"/>
    </row>
    <row r="599" spans="9:9">
      <c r="I599" s="14"/>
    </row>
    <row r="600" spans="9:9">
      <c r="I600" s="14"/>
    </row>
    <row r="601" spans="9:9">
      <c r="I601" s="14"/>
    </row>
    <row r="602" spans="9:9">
      <c r="I602" s="14"/>
    </row>
    <row r="603" spans="9:9">
      <c r="I603" s="14"/>
    </row>
    <row r="604" spans="9:9">
      <c r="I604" s="14"/>
    </row>
    <row r="605" spans="9:9">
      <c r="I605" s="14"/>
    </row>
    <row r="606" spans="9:9">
      <c r="I606" s="14"/>
    </row>
    <row r="607" spans="9:9">
      <c r="I607" s="14"/>
    </row>
    <row r="608" spans="9:9">
      <c r="I608" s="14"/>
    </row>
    <row r="609" spans="9:9">
      <c r="I609" s="14"/>
    </row>
    <row r="610" spans="9:9">
      <c r="I610" s="14"/>
    </row>
    <row r="611" spans="9:9">
      <c r="I611" s="14"/>
    </row>
    <row r="612" spans="9:9">
      <c r="I612" s="14"/>
    </row>
    <row r="613" spans="9:9">
      <c r="I613" s="14"/>
    </row>
    <row r="614" spans="9:9">
      <c r="I614" s="14"/>
    </row>
    <row r="615" spans="9:9">
      <c r="I615" s="14"/>
    </row>
    <row r="616" spans="9:9">
      <c r="I616" s="14"/>
    </row>
    <row r="617" spans="9:9">
      <c r="I617" s="14"/>
    </row>
    <row r="618" spans="9:9">
      <c r="I618" s="14"/>
    </row>
    <row r="619" spans="9:9">
      <c r="I619" s="14"/>
    </row>
    <row r="620" spans="9:9">
      <c r="I620" s="14"/>
    </row>
    <row r="621" spans="9:9">
      <c r="I621" s="14"/>
    </row>
    <row r="622" spans="9:9">
      <c r="I622" s="14"/>
    </row>
    <row r="623" spans="9:9">
      <c r="I623" s="14"/>
    </row>
    <row r="624" spans="9:9">
      <c r="I624" s="14"/>
    </row>
    <row r="625" spans="9:9">
      <c r="I625" s="14"/>
    </row>
    <row r="626" spans="9:9">
      <c r="I626" s="14"/>
    </row>
    <row r="627" spans="9:9">
      <c r="I627" s="14"/>
    </row>
    <row r="628" spans="9:9">
      <c r="I628" s="14"/>
    </row>
    <row r="629" spans="9:9">
      <c r="I629" s="14"/>
    </row>
    <row r="630" spans="9:9">
      <c r="I630" s="14"/>
    </row>
    <row r="631" spans="9:9">
      <c r="I631" s="14"/>
    </row>
    <row r="632" spans="9:9">
      <c r="I632" s="14"/>
    </row>
    <row r="633" spans="9:9">
      <c r="I633" s="14"/>
    </row>
    <row r="634" spans="9:9">
      <c r="I634" s="14"/>
    </row>
    <row r="635" spans="9:9">
      <c r="I635" s="14"/>
    </row>
    <row r="636" spans="9:9">
      <c r="I636" s="14"/>
    </row>
    <row r="637" spans="9:9">
      <c r="I637" s="14"/>
    </row>
    <row r="638" spans="9:9">
      <c r="I638" s="14"/>
    </row>
    <row r="639" spans="9:9">
      <c r="I639" s="14"/>
    </row>
    <row r="640" spans="9:9">
      <c r="I640" s="14"/>
    </row>
    <row r="641" spans="9:9">
      <c r="I641" s="14"/>
    </row>
    <row r="642" spans="9:9">
      <c r="I642" s="14"/>
    </row>
    <row r="643" spans="9:9">
      <c r="I643" s="14"/>
    </row>
    <row r="644" spans="9:9">
      <c r="I644" s="14"/>
    </row>
    <row r="645" spans="9:9">
      <c r="I645" s="14"/>
    </row>
    <row r="646" spans="9:9">
      <c r="I646" s="14"/>
    </row>
    <row r="647" spans="9:9">
      <c r="I647" s="14"/>
    </row>
    <row r="648" spans="9:9">
      <c r="I648" s="14"/>
    </row>
    <row r="649" spans="9:9">
      <c r="I649" s="14"/>
    </row>
    <row r="650" spans="9:9">
      <c r="I650" s="14"/>
    </row>
    <row r="651" spans="9:9">
      <c r="I651" s="14"/>
    </row>
    <row r="652" spans="9:9">
      <c r="I652" s="14"/>
    </row>
    <row r="653" spans="9:9">
      <c r="I653" s="14"/>
    </row>
    <row r="654" spans="9:9">
      <c r="I654" s="14"/>
    </row>
    <row r="655" spans="9:9">
      <c r="I655" s="14"/>
    </row>
    <row r="656" spans="9:9">
      <c r="I656" s="14"/>
    </row>
    <row r="657" spans="9:9">
      <c r="I657" s="14"/>
    </row>
    <row r="658" spans="9:9">
      <c r="I658" s="14"/>
    </row>
    <row r="659" spans="9:9">
      <c r="I659" s="14"/>
    </row>
    <row r="660" spans="9:9">
      <c r="I660" s="14"/>
    </row>
    <row r="661" spans="9:9">
      <c r="I661" s="14"/>
    </row>
    <row r="662" spans="9:9">
      <c r="I662" s="14"/>
    </row>
    <row r="663" spans="9:9">
      <c r="I663" s="14"/>
    </row>
    <row r="664" spans="9:9">
      <c r="I664" s="14"/>
    </row>
    <row r="665" spans="9:9">
      <c r="I665" s="14"/>
    </row>
    <row r="666" spans="9:9">
      <c r="I666" s="14"/>
    </row>
    <row r="667" spans="9:9">
      <c r="I667" s="14"/>
    </row>
    <row r="668" spans="9:9">
      <c r="I668" s="14"/>
    </row>
    <row r="669" spans="9:9">
      <c r="I669" s="14"/>
    </row>
    <row r="670" spans="9:9">
      <c r="I670" s="14"/>
    </row>
    <row r="671" spans="9:9">
      <c r="I671" s="14"/>
    </row>
    <row r="672" spans="9:9">
      <c r="I672" s="14"/>
    </row>
    <row r="673" spans="9:9">
      <c r="I673" s="14"/>
    </row>
    <row r="674" spans="9:9">
      <c r="I674" s="14"/>
    </row>
    <row r="675" spans="9:9">
      <c r="I675" s="14"/>
    </row>
    <row r="676" spans="9:9">
      <c r="I676" s="14"/>
    </row>
    <row r="677" spans="9:9">
      <c r="I677" s="14"/>
    </row>
    <row r="678" spans="9:9">
      <c r="I678" s="14"/>
    </row>
    <row r="679" spans="9:9">
      <c r="I679" s="14"/>
    </row>
    <row r="680" spans="9:9">
      <c r="I680" s="14"/>
    </row>
    <row r="681" spans="9:9">
      <c r="I681" s="14"/>
    </row>
    <row r="682" spans="9:9">
      <c r="I682" s="14"/>
    </row>
    <row r="683" spans="9:9">
      <c r="I683" s="14"/>
    </row>
    <row r="684" spans="9:9">
      <c r="I684" s="14"/>
    </row>
    <row r="685" spans="9:9">
      <c r="I685" s="14"/>
    </row>
    <row r="686" spans="9:9">
      <c r="I686" s="14"/>
    </row>
    <row r="687" spans="9:9">
      <c r="I687" s="14"/>
    </row>
    <row r="688" spans="9:9">
      <c r="I688" s="14"/>
    </row>
    <row r="689" spans="9:9">
      <c r="I689" s="14"/>
    </row>
    <row r="690" spans="9:9">
      <c r="I690" s="14"/>
    </row>
    <row r="691" spans="9:9">
      <c r="I691" s="14"/>
    </row>
    <row r="692" spans="9:9">
      <c r="I692" s="14"/>
    </row>
    <row r="693" spans="9:9">
      <c r="I693" s="14"/>
    </row>
    <row r="694" spans="9:9">
      <c r="I694" s="14"/>
    </row>
    <row r="695" spans="9:9">
      <c r="I695" s="14"/>
    </row>
    <row r="696" spans="9:9">
      <c r="I696" s="14"/>
    </row>
    <row r="697" spans="9:9">
      <c r="I697" s="14"/>
    </row>
    <row r="698" spans="9:9">
      <c r="I698" s="14"/>
    </row>
    <row r="699" spans="9:9">
      <c r="I699" s="14"/>
    </row>
    <row r="700" spans="9:9">
      <c r="I700" s="14"/>
    </row>
    <row r="701" spans="9:9">
      <c r="I701" s="14"/>
    </row>
    <row r="702" spans="9:9">
      <c r="I702" s="14"/>
    </row>
    <row r="703" spans="9:9">
      <c r="I703" s="14"/>
    </row>
    <row r="704" spans="9:9">
      <c r="I704" s="14"/>
    </row>
    <row r="705" spans="9:9">
      <c r="I705" s="14"/>
    </row>
    <row r="706" spans="9:9">
      <c r="I706" s="14"/>
    </row>
    <row r="707" spans="9:9">
      <c r="I707" s="14"/>
    </row>
    <row r="708" spans="9:9">
      <c r="I708" s="14"/>
    </row>
    <row r="709" spans="9:9">
      <c r="I709" s="14"/>
    </row>
    <row r="710" spans="9:9">
      <c r="I710" s="14"/>
    </row>
    <row r="711" spans="9:9">
      <c r="I711" s="14"/>
    </row>
    <row r="712" spans="9:9">
      <c r="I712" s="14"/>
    </row>
    <row r="713" spans="9:9">
      <c r="I713" s="14"/>
    </row>
    <row r="714" spans="9:9">
      <c r="I714" s="14"/>
    </row>
    <row r="715" spans="9:9">
      <c r="I715" s="14"/>
    </row>
    <row r="716" spans="9:9">
      <c r="I716" s="14"/>
    </row>
    <row r="717" spans="9:9">
      <c r="I717" s="14"/>
    </row>
    <row r="718" spans="9:9">
      <c r="I718" s="14"/>
    </row>
    <row r="719" spans="9:9">
      <c r="I719" s="14"/>
    </row>
    <row r="720" spans="9:9">
      <c r="I720" s="14"/>
    </row>
    <row r="721" spans="9:9">
      <c r="I721" s="14"/>
    </row>
    <row r="722" spans="9:9">
      <c r="I722" s="14"/>
    </row>
    <row r="723" spans="9:9">
      <c r="I723" s="14"/>
    </row>
    <row r="724" spans="9:9">
      <c r="I724" s="14"/>
    </row>
    <row r="725" spans="9:9">
      <c r="I725" s="14"/>
    </row>
    <row r="726" spans="9:9">
      <c r="I726" s="14"/>
    </row>
    <row r="727" spans="9:9">
      <c r="I727" s="14"/>
    </row>
    <row r="728" spans="9:9">
      <c r="I728" s="14"/>
    </row>
    <row r="729" spans="9:9">
      <c r="I729" s="14"/>
    </row>
    <row r="730" spans="9:9">
      <c r="I730" s="14"/>
    </row>
    <row r="731" spans="9:9">
      <c r="I731" s="14"/>
    </row>
    <row r="732" spans="9:9">
      <c r="I732" s="14"/>
    </row>
    <row r="733" spans="9:9">
      <c r="I733" s="14"/>
    </row>
    <row r="734" spans="9:9">
      <c r="I734" s="14"/>
    </row>
    <row r="735" spans="9:9">
      <c r="I735" s="14"/>
    </row>
    <row r="736" spans="9:9">
      <c r="I736" s="14"/>
    </row>
    <row r="737" spans="9:9">
      <c r="I737" s="14"/>
    </row>
    <row r="738" spans="9:9">
      <c r="I738" s="14"/>
    </row>
    <row r="739" spans="9:9">
      <c r="I739" s="14"/>
    </row>
    <row r="740" spans="9:9">
      <c r="I740" s="14"/>
    </row>
    <row r="741" spans="9:9">
      <c r="I741" s="14"/>
    </row>
    <row r="742" spans="9:9">
      <c r="I742" s="14"/>
    </row>
    <row r="743" spans="9:9">
      <c r="I743" s="14"/>
    </row>
    <row r="744" spans="9:9">
      <c r="I744" s="14"/>
    </row>
    <row r="745" spans="9:9">
      <c r="I745" s="14"/>
    </row>
    <row r="746" spans="9:9">
      <c r="I746" s="14"/>
    </row>
    <row r="747" spans="9:9">
      <c r="I747" s="14"/>
    </row>
    <row r="748" spans="9:9">
      <c r="I748" s="14"/>
    </row>
    <row r="749" spans="9:9">
      <c r="I749" s="14"/>
    </row>
    <row r="750" spans="9:9">
      <c r="I750" s="14"/>
    </row>
    <row r="751" spans="9:9">
      <c r="I751" s="14"/>
    </row>
    <row r="752" spans="9:9">
      <c r="I752" s="14"/>
    </row>
    <row r="753" spans="9:9">
      <c r="I753" s="14"/>
    </row>
    <row r="754" spans="9:9">
      <c r="I754" s="14"/>
    </row>
    <row r="755" spans="9:9">
      <c r="I755" s="14"/>
    </row>
    <row r="756" spans="9:9">
      <c r="I756" s="14"/>
    </row>
    <row r="757" spans="9:9">
      <c r="I757" s="14"/>
    </row>
    <row r="758" spans="9:9">
      <c r="I758" s="14"/>
    </row>
    <row r="759" spans="9:9">
      <c r="I759" s="14"/>
    </row>
    <row r="760" spans="9:9">
      <c r="I760" s="14"/>
    </row>
    <row r="761" spans="9:9">
      <c r="I761" s="14"/>
    </row>
    <row r="762" spans="9:9">
      <c r="I762" s="14"/>
    </row>
    <row r="763" spans="9:9">
      <c r="I763" s="14"/>
    </row>
    <row r="764" spans="9:9">
      <c r="I764" s="14"/>
    </row>
    <row r="765" spans="9:9">
      <c r="I765" s="14"/>
    </row>
    <row r="766" spans="9:9">
      <c r="I766" s="14"/>
    </row>
    <row r="767" spans="9:9">
      <c r="I767" s="14"/>
    </row>
    <row r="768" spans="9:9">
      <c r="I768" s="14"/>
    </row>
    <row r="769" spans="9:9">
      <c r="I769" s="14"/>
    </row>
    <row r="770" spans="9:9">
      <c r="I770" s="14"/>
    </row>
    <row r="771" spans="9:9">
      <c r="I771" s="14"/>
    </row>
    <row r="772" spans="9:9">
      <c r="I772" s="14"/>
    </row>
    <row r="773" spans="9:9">
      <c r="I773" s="14"/>
    </row>
    <row r="774" spans="9:9">
      <c r="I774" s="14"/>
    </row>
    <row r="775" spans="9:9">
      <c r="I775" s="14"/>
    </row>
    <row r="776" spans="9:9">
      <c r="I776" s="14"/>
    </row>
    <row r="777" spans="9:9">
      <c r="I777" s="14"/>
    </row>
    <row r="778" spans="9:9">
      <c r="I778" s="14"/>
    </row>
    <row r="779" spans="9:9">
      <c r="I779" s="14"/>
    </row>
    <row r="780" spans="9:9">
      <c r="I780" s="14"/>
    </row>
    <row r="781" spans="9:9">
      <c r="I781" s="14"/>
    </row>
    <row r="782" spans="9:9">
      <c r="I782" s="14"/>
    </row>
    <row r="783" spans="9:9">
      <c r="I783" s="14"/>
    </row>
    <row r="784" spans="9:9">
      <c r="I784" s="14"/>
    </row>
    <row r="785" spans="9:9">
      <c r="I785" s="14"/>
    </row>
    <row r="786" spans="9:9">
      <c r="I786" s="14"/>
    </row>
    <row r="787" spans="9:9">
      <c r="I787" s="14"/>
    </row>
    <row r="788" spans="9:9">
      <c r="I788" s="14"/>
    </row>
    <row r="789" spans="9:9">
      <c r="I789" s="14"/>
    </row>
    <row r="790" spans="9:9">
      <c r="I790" s="14"/>
    </row>
    <row r="791" spans="9:9">
      <c r="I791" s="14"/>
    </row>
    <row r="792" spans="9:9">
      <c r="I792" s="14"/>
    </row>
    <row r="793" spans="9:9">
      <c r="I793" s="14"/>
    </row>
    <row r="794" spans="9:9">
      <c r="I794" s="14"/>
    </row>
    <row r="795" spans="9:9">
      <c r="I795" s="14"/>
    </row>
    <row r="796" spans="9:9">
      <c r="I796" s="14"/>
    </row>
    <row r="797" spans="9:9">
      <c r="I797" s="14"/>
    </row>
    <row r="798" spans="9:9">
      <c r="I798" s="14"/>
    </row>
    <row r="799" spans="9:9">
      <c r="I799" s="14"/>
    </row>
    <row r="800" spans="9:9">
      <c r="I800" s="14"/>
    </row>
    <row r="801" spans="9:9">
      <c r="I801" s="14"/>
    </row>
    <row r="802" spans="9:9">
      <c r="I802" s="14"/>
    </row>
    <row r="803" spans="9:9">
      <c r="I803" s="14"/>
    </row>
    <row r="804" spans="9:9">
      <c r="I804" s="14"/>
    </row>
    <row r="805" spans="9:9">
      <c r="I805" s="14"/>
    </row>
    <row r="806" spans="9:9">
      <c r="I806" s="14"/>
    </row>
    <row r="807" spans="9:9">
      <c r="I807" s="14"/>
    </row>
    <row r="808" spans="9:9">
      <c r="I808" s="14"/>
    </row>
    <row r="809" spans="9:9">
      <c r="I809" s="14"/>
    </row>
    <row r="810" spans="9:9">
      <c r="I810" s="14"/>
    </row>
    <row r="811" spans="9:9">
      <c r="I811" s="14"/>
    </row>
    <row r="812" spans="9:9">
      <c r="I812" s="14"/>
    </row>
    <row r="813" spans="9:9">
      <c r="I813" s="14"/>
    </row>
    <row r="814" spans="9:9">
      <c r="I814" s="14"/>
    </row>
    <row r="815" spans="9:9">
      <c r="I815" s="14"/>
    </row>
    <row r="816" spans="9:9">
      <c r="I816" s="14"/>
    </row>
    <row r="817" spans="9:9">
      <c r="I817" s="14"/>
    </row>
    <row r="818" spans="9:9">
      <c r="I818" s="14"/>
    </row>
    <row r="819" spans="9:9">
      <c r="I819" s="14"/>
    </row>
    <row r="820" spans="9:9">
      <c r="I820" s="14"/>
    </row>
    <row r="821" spans="9:9">
      <c r="I821" s="14"/>
    </row>
    <row r="822" spans="9:9">
      <c r="I822" s="14"/>
    </row>
    <row r="823" spans="9:9">
      <c r="I823" s="14"/>
    </row>
    <row r="824" spans="9:9">
      <c r="I824" s="14"/>
    </row>
    <row r="825" spans="9:9">
      <c r="I825" s="14"/>
    </row>
    <row r="826" spans="9:9">
      <c r="I826" s="14"/>
    </row>
    <row r="827" spans="9:9">
      <c r="I827" s="14"/>
    </row>
    <row r="828" spans="9:9">
      <c r="I828" s="14"/>
    </row>
    <row r="829" spans="9:9">
      <c r="I829" s="14"/>
    </row>
    <row r="830" spans="9:9">
      <c r="I830" s="14"/>
    </row>
    <row r="831" spans="9:9">
      <c r="I831" s="14"/>
    </row>
    <row r="832" spans="9:9">
      <c r="I832" s="14"/>
    </row>
    <row r="833" spans="9:9">
      <c r="I833" s="14"/>
    </row>
    <row r="834" spans="9:9">
      <c r="I834" s="14"/>
    </row>
    <row r="835" spans="9:9">
      <c r="I835" s="14"/>
    </row>
    <row r="836" spans="9:9">
      <c r="I836" s="14"/>
    </row>
    <row r="837" spans="9:9">
      <c r="I837" s="14"/>
    </row>
    <row r="838" spans="9:9">
      <c r="I838" s="14"/>
    </row>
    <row r="839" spans="9:9">
      <c r="I839" s="14"/>
    </row>
    <row r="840" spans="9:9">
      <c r="I840" s="14"/>
    </row>
    <row r="841" spans="9:9">
      <c r="I841" s="14"/>
    </row>
    <row r="842" spans="9:9">
      <c r="I842" s="14"/>
    </row>
    <row r="843" spans="9:9">
      <c r="I843" s="14"/>
    </row>
    <row r="844" spans="9:9">
      <c r="I844" s="14"/>
    </row>
    <row r="845" spans="9:9">
      <c r="I845" s="14"/>
    </row>
    <row r="846" spans="9:9">
      <c r="I846" s="14"/>
    </row>
    <row r="847" spans="9:9">
      <c r="I847" s="14"/>
    </row>
    <row r="848" spans="9:9">
      <c r="I848" s="14"/>
    </row>
    <row r="849" spans="9:9">
      <c r="I849" s="14"/>
    </row>
    <row r="850" spans="9:9">
      <c r="I850" s="14"/>
    </row>
    <row r="851" spans="9:9">
      <c r="I851" s="14"/>
    </row>
    <row r="852" spans="9:9">
      <c r="I852" s="14"/>
    </row>
    <row r="853" spans="9:9">
      <c r="I853" s="14"/>
    </row>
    <row r="854" spans="9:9">
      <c r="I854" s="14"/>
    </row>
    <row r="855" spans="9:9">
      <c r="I855" s="14"/>
    </row>
    <row r="856" spans="9:9">
      <c r="I856" s="14"/>
    </row>
    <row r="857" spans="9:9">
      <c r="I857" s="14"/>
    </row>
    <row r="858" spans="9:9">
      <c r="I858" s="14"/>
    </row>
    <row r="859" spans="9:9">
      <c r="I859" s="14"/>
    </row>
    <row r="860" spans="9:9">
      <c r="I860" s="14"/>
    </row>
    <row r="861" spans="9:9">
      <c r="I861" s="14"/>
    </row>
    <row r="862" spans="9:9">
      <c r="I862" s="14"/>
    </row>
    <row r="863" spans="9:9">
      <c r="I863" s="14"/>
    </row>
    <row r="864" spans="9:9">
      <c r="I864" s="14"/>
    </row>
    <row r="865" spans="9:9">
      <c r="I865" s="14"/>
    </row>
    <row r="866" spans="9:9">
      <c r="I866" s="14"/>
    </row>
    <row r="867" spans="9:9">
      <c r="I867" s="14"/>
    </row>
    <row r="868" spans="9:9">
      <c r="I868" s="14"/>
    </row>
    <row r="869" spans="9:9">
      <c r="I869" s="14"/>
    </row>
    <row r="870" spans="9:9">
      <c r="I870" s="14"/>
    </row>
    <row r="871" spans="9:9">
      <c r="I871" s="14"/>
    </row>
    <row r="872" spans="9:9">
      <c r="I872" s="14"/>
    </row>
    <row r="873" spans="9:9">
      <c r="I873" s="14"/>
    </row>
    <row r="874" spans="9:9">
      <c r="I874" s="14"/>
    </row>
    <row r="875" spans="9:9">
      <c r="I875" s="14"/>
    </row>
    <row r="876" spans="9:9">
      <c r="I876" s="14"/>
    </row>
    <row r="877" spans="9:9">
      <c r="I877" s="14"/>
    </row>
    <row r="878" spans="9:9">
      <c r="I878" s="14"/>
    </row>
    <row r="879" spans="9:9">
      <c r="I879" s="14"/>
    </row>
    <row r="880" spans="9:9">
      <c r="I880" s="14"/>
    </row>
    <row r="881" spans="9:9">
      <c r="I881" s="14"/>
    </row>
    <row r="882" spans="9:9">
      <c r="I882" s="14"/>
    </row>
    <row r="883" spans="9:9">
      <c r="I883" s="14"/>
    </row>
    <row r="884" spans="9:9">
      <c r="I884" s="14"/>
    </row>
    <row r="885" spans="9:9">
      <c r="I885" s="14"/>
    </row>
    <row r="886" spans="9:9">
      <c r="I886" s="14"/>
    </row>
    <row r="887" spans="9:9">
      <c r="I887" s="14"/>
    </row>
    <row r="888" spans="9:9">
      <c r="I888" s="14"/>
    </row>
    <row r="889" spans="9:9">
      <c r="I889" s="14"/>
    </row>
    <row r="890" spans="9:9">
      <c r="I890" s="14"/>
    </row>
    <row r="891" spans="9:9">
      <c r="I891" s="14"/>
    </row>
    <row r="892" spans="9:9">
      <c r="I892" s="14"/>
    </row>
    <row r="893" spans="9:9">
      <c r="I893" s="14"/>
    </row>
    <row r="894" spans="9:9">
      <c r="I894" s="14"/>
    </row>
    <row r="895" spans="9:9">
      <c r="I895" s="14"/>
    </row>
    <row r="896" spans="9:9">
      <c r="I896" s="14"/>
    </row>
    <row r="897" spans="9:9">
      <c r="I897" s="14"/>
    </row>
    <row r="898" spans="9:9">
      <c r="I898" s="14"/>
    </row>
    <row r="899" spans="9:9">
      <c r="I899" s="14"/>
    </row>
    <row r="900" spans="9:9">
      <c r="I900" s="14"/>
    </row>
    <row r="901" spans="9:9">
      <c r="I901" s="14"/>
    </row>
    <row r="902" spans="9:9">
      <c r="I902" s="14"/>
    </row>
    <row r="903" spans="9:9">
      <c r="I903" s="14"/>
    </row>
    <row r="904" spans="9:9">
      <c r="I904" s="14"/>
    </row>
    <row r="905" spans="9:9">
      <c r="I905" s="14"/>
    </row>
    <row r="906" spans="9:9">
      <c r="I906" s="14"/>
    </row>
    <row r="907" spans="9:9">
      <c r="I907" s="14"/>
    </row>
    <row r="908" spans="9:9">
      <c r="I908" s="14"/>
    </row>
    <row r="909" spans="9:9">
      <c r="I909" s="14"/>
    </row>
    <row r="910" spans="9:9">
      <c r="I910" s="14"/>
    </row>
    <row r="911" spans="9:9">
      <c r="I911" s="14"/>
    </row>
    <row r="912" spans="9:9">
      <c r="I912" s="14"/>
    </row>
    <row r="913" spans="9:9">
      <c r="I913" s="14"/>
    </row>
    <row r="914" spans="9:9">
      <c r="I914" s="14"/>
    </row>
    <row r="915" spans="9:9">
      <c r="I915" s="14"/>
    </row>
    <row r="916" spans="9:9">
      <c r="I916" s="14"/>
    </row>
    <row r="917" spans="9:9">
      <c r="I917" s="14"/>
    </row>
    <row r="918" spans="9:9">
      <c r="I918" s="14"/>
    </row>
    <row r="919" spans="9:9">
      <c r="I919" s="14"/>
    </row>
    <row r="920" spans="9:9">
      <c r="I920" s="14"/>
    </row>
    <row r="921" spans="9:9">
      <c r="I921" s="14"/>
    </row>
    <row r="922" spans="9:9">
      <c r="I922" s="14"/>
    </row>
    <row r="923" spans="9:9">
      <c r="I923" s="14"/>
    </row>
    <row r="924" spans="9:9">
      <c r="I924" s="14"/>
    </row>
    <row r="925" spans="9:9">
      <c r="I925" s="14"/>
    </row>
    <row r="926" spans="9:9">
      <c r="I926" s="14"/>
    </row>
    <row r="927" spans="9:9">
      <c r="I927" s="14"/>
    </row>
    <row r="928" spans="9:9">
      <c r="I928" s="14"/>
    </row>
    <row r="929" spans="9:9">
      <c r="I929" s="14"/>
    </row>
    <row r="930" spans="9:9">
      <c r="I930" s="14"/>
    </row>
    <row r="931" spans="9:9">
      <c r="I931" s="14"/>
    </row>
    <row r="932" spans="9:9">
      <c r="I932" s="14"/>
    </row>
    <row r="933" spans="9:9">
      <c r="I933" s="14"/>
    </row>
    <row r="934" spans="9:9">
      <c r="I934" s="14"/>
    </row>
    <row r="935" spans="9:9">
      <c r="I935" s="14"/>
    </row>
    <row r="936" spans="9:9">
      <c r="I936" s="14"/>
    </row>
    <row r="937" spans="9:9">
      <c r="I937" s="14"/>
    </row>
    <row r="938" spans="9:9">
      <c r="I938" s="14"/>
    </row>
    <row r="939" spans="9:9">
      <c r="I939" s="14"/>
    </row>
    <row r="940" spans="9:9">
      <c r="I940" s="14"/>
    </row>
    <row r="941" spans="9:9">
      <c r="I941" s="14"/>
    </row>
    <row r="942" spans="9:9">
      <c r="I942" s="14"/>
    </row>
    <row r="943" spans="9:9">
      <c r="I943" s="14"/>
    </row>
    <row r="944" spans="9:9">
      <c r="I944" s="14"/>
    </row>
    <row r="945" spans="9:9">
      <c r="I945" s="14"/>
    </row>
    <row r="946" spans="9:9">
      <c r="I946" s="14"/>
    </row>
    <row r="947" spans="9:9">
      <c r="I947" s="14"/>
    </row>
    <row r="948" spans="9:9">
      <c r="I948" s="14"/>
    </row>
    <row r="949" spans="9:9">
      <c r="I949" s="14"/>
    </row>
    <row r="950" spans="9:9">
      <c r="I950" s="14"/>
    </row>
    <row r="951" spans="9:9">
      <c r="I951" s="14"/>
    </row>
    <row r="952" spans="9:9">
      <c r="I952" s="14"/>
    </row>
    <row r="953" spans="9:9">
      <c r="I953" s="14"/>
    </row>
    <row r="954" spans="9:9">
      <c r="I954" s="14"/>
    </row>
    <row r="955" spans="9:9">
      <c r="I955" s="14"/>
    </row>
    <row r="956" spans="9:9">
      <c r="I956" s="14"/>
    </row>
    <row r="957" spans="9:9">
      <c r="I957" s="14"/>
    </row>
    <row r="958" spans="9:9">
      <c r="I958" s="14"/>
    </row>
    <row r="959" spans="9:9">
      <c r="I959" s="14"/>
    </row>
    <row r="960" spans="9:9">
      <c r="I960" s="14"/>
    </row>
    <row r="961" spans="9:9">
      <c r="I961" s="14"/>
    </row>
    <row r="962" spans="9:9">
      <c r="I962" s="14"/>
    </row>
    <row r="963" spans="9:9">
      <c r="I963" s="14"/>
    </row>
    <row r="964" spans="9:9">
      <c r="I964" s="14"/>
    </row>
    <row r="965" spans="9:9">
      <c r="I965" s="14"/>
    </row>
    <row r="966" spans="9:9">
      <c r="I966" s="14"/>
    </row>
    <row r="967" spans="9:9">
      <c r="I967" s="14"/>
    </row>
    <row r="968" spans="9:9">
      <c r="I968" s="14"/>
    </row>
    <row r="969" spans="9:9">
      <c r="I969" s="14"/>
    </row>
    <row r="970" spans="9:9">
      <c r="I970" s="14"/>
    </row>
    <row r="971" spans="9:9">
      <c r="I971" s="14"/>
    </row>
    <row r="972" spans="9:9">
      <c r="I972" s="14"/>
    </row>
    <row r="973" spans="9:9">
      <c r="I973" s="14"/>
    </row>
    <row r="974" spans="9:9">
      <c r="I974" s="14"/>
    </row>
    <row r="975" spans="9:9">
      <c r="I975" s="14"/>
    </row>
    <row r="976" spans="9:9">
      <c r="I976" s="14"/>
    </row>
    <row r="977" spans="9:9">
      <c r="I977" s="14"/>
    </row>
    <row r="978" spans="9:9">
      <c r="I978" s="14"/>
    </row>
    <row r="979" spans="9:9">
      <c r="I979" s="14"/>
    </row>
    <row r="980" spans="9:9">
      <c r="I980" s="14"/>
    </row>
    <row r="981" spans="9:9">
      <c r="I981" s="14"/>
    </row>
    <row r="982" spans="9:9">
      <c r="I982" s="14"/>
    </row>
    <row r="983" spans="9:9">
      <c r="I983" s="14"/>
    </row>
    <row r="984" spans="9:9">
      <c r="I984" s="14"/>
    </row>
    <row r="985" spans="9:9">
      <c r="I985" s="14"/>
    </row>
    <row r="986" spans="9:9">
      <c r="I986" s="14"/>
    </row>
    <row r="987" spans="9:9">
      <c r="I987" s="14"/>
    </row>
    <row r="988" spans="9:9">
      <c r="I988" s="14"/>
    </row>
    <row r="989" spans="9:9">
      <c r="I989" s="14"/>
    </row>
    <row r="990" spans="9:9">
      <c r="I990" s="14"/>
    </row>
    <row r="991" spans="9:9">
      <c r="I991" s="14"/>
    </row>
    <row r="992" spans="9:9">
      <c r="I992" s="14"/>
    </row>
    <row r="993" spans="2:11">
      <c r="I993" s="14"/>
    </row>
    <row r="994" spans="2:11">
      <c r="I994" s="14"/>
    </row>
    <row r="995" spans="2:11">
      <c r="I995" s="14"/>
    </row>
    <row r="996" spans="2:11">
      <c r="I996" s="14"/>
    </row>
    <row r="997" spans="2:11">
      <c r="I997" s="14"/>
    </row>
    <row r="998" spans="2:11">
      <c r="I998" s="14"/>
    </row>
    <row r="999" spans="2:11">
      <c r="I999" s="14"/>
    </row>
    <row r="1000" spans="2:11" s="142" customFormat="1">
      <c r="B1000" s="144" t="s">
        <v>391</v>
      </c>
      <c r="H1000" s="141"/>
      <c r="I1000" s="141"/>
      <c r="J1000" s="143"/>
      <c r="K1000" s="143"/>
    </row>
  </sheetData>
  <mergeCells count="5">
    <mergeCell ref="B1:E1"/>
    <mergeCell ref="C5:E5"/>
    <mergeCell ref="J1:K1"/>
    <mergeCell ref="B4:K4"/>
    <mergeCell ref="F5:K5"/>
  </mergeCells>
  <dataValidations disablePrompts="1" count="3">
    <dataValidation allowBlank="1" showInputMessage="1" showErrorMessage="1" prompt="Title of this worksheet is in this cell. Enter Date, Quotation Number, and Customer ID in cells G2 through G5" sqref="J1"/>
    <dataValidation allowBlank="1" showInputMessage="1" showErrorMessage="1" prompt="Create a Price quote with tax calculation in this worksheet. Enter company, customer, quotation, shipping, and product details. Total due is automatically calculated" sqref="A1"/>
    <dataValidation allowBlank="1" showInputMessage="1" showErrorMessage="1" prompt="Enter Company Name in this cell and slogan in cell below. Quotation title is in cell at right" sqref="B1:F1"/>
  </dataValidations>
  <pageMargins left="0.7" right="0.7" top="0.75" bottom="0.75" header="0.3" footer="0.3"/>
  <pageSetup scale="50" orientation="landscape" r:id="rId1"/>
  <drawing r:id="rId2"/>
  <legacyDrawing r:id="rId3"/>
  <controls>
    <mc:AlternateContent xmlns:mc="http://schemas.openxmlformats.org/markup-compatibility/2006">
      <mc:Choice Requires="x14">
        <control shapeId="2066" r:id="rId4" name="CommandButton4">
          <controlPr defaultSize="0" autoLine="0" r:id="rId5">
            <anchor moveWithCells="1">
              <from>
                <xdr:col>3</xdr:col>
                <xdr:colOff>1647825</xdr:colOff>
                <xdr:row>1</xdr:row>
                <xdr:rowOff>38100</xdr:rowOff>
              </from>
              <to>
                <xdr:col>5</xdr:col>
                <xdr:colOff>866775</xdr:colOff>
                <xdr:row>2</xdr:row>
                <xdr:rowOff>142875</xdr:rowOff>
              </to>
            </anchor>
          </controlPr>
        </control>
      </mc:Choice>
      <mc:Fallback>
        <control shapeId="2066" r:id="rId4" name="CommandButton4"/>
      </mc:Fallback>
    </mc:AlternateContent>
    <mc:AlternateContent xmlns:mc="http://schemas.openxmlformats.org/markup-compatibility/2006">
      <mc:Choice Requires="x14">
        <control shapeId="2052" r:id="rId6" name="CommandButton1">
          <controlPr defaultSize="0" autoLine="0" r:id="rId7">
            <anchor moveWithCells="1">
              <from>
                <xdr:col>8</xdr:col>
                <xdr:colOff>704850</xdr:colOff>
                <xdr:row>1</xdr:row>
                <xdr:rowOff>38100</xdr:rowOff>
              </from>
              <to>
                <xdr:col>10</xdr:col>
                <xdr:colOff>1228725</xdr:colOff>
                <xdr:row>2</xdr:row>
                <xdr:rowOff>152400</xdr:rowOff>
              </to>
            </anchor>
          </controlPr>
        </control>
      </mc:Choice>
      <mc:Fallback>
        <control shapeId="2052" r:id="rId6" name="CommandButton1"/>
      </mc:Fallback>
    </mc:AlternateContent>
    <mc:AlternateContent xmlns:mc="http://schemas.openxmlformats.org/markup-compatibility/2006">
      <mc:Choice Requires="x14">
        <control shapeId="2064" r:id="rId8" name="CommandButton3">
          <controlPr defaultSize="0" autoLine="0" r:id="rId9">
            <anchor moveWithCells="1">
              <from>
                <xdr:col>6</xdr:col>
                <xdr:colOff>1771650</xdr:colOff>
                <xdr:row>1</xdr:row>
                <xdr:rowOff>38100</xdr:rowOff>
              </from>
              <to>
                <xdr:col>8</xdr:col>
                <xdr:colOff>647700</xdr:colOff>
                <xdr:row>2</xdr:row>
                <xdr:rowOff>142875</xdr:rowOff>
              </to>
            </anchor>
          </controlPr>
        </control>
      </mc:Choice>
      <mc:Fallback>
        <control shapeId="2064" r:id="rId8" name="CommandButton3"/>
      </mc:Fallback>
    </mc:AlternateContent>
    <mc:AlternateContent xmlns:mc="http://schemas.openxmlformats.org/markup-compatibility/2006">
      <mc:Choice Requires="x14">
        <control shapeId="2065" r:id="rId10" name="CommandButton2">
          <controlPr defaultSize="0" autoLine="0" r:id="rId11">
            <anchor moveWithCells="1">
              <from>
                <xdr:col>5</xdr:col>
                <xdr:colOff>904875</xdr:colOff>
                <xdr:row>1</xdr:row>
                <xdr:rowOff>38100</xdr:rowOff>
              </from>
              <to>
                <xdr:col>6</xdr:col>
                <xdr:colOff>1724025</xdr:colOff>
                <xdr:row>2</xdr:row>
                <xdr:rowOff>142875</xdr:rowOff>
              </to>
            </anchor>
          </controlPr>
        </control>
      </mc:Choice>
      <mc:Fallback>
        <control shapeId="2065" r:id="rId10" name="CommandButton2"/>
      </mc:Fallback>
    </mc:AlternateContent>
  </controls>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499984740745262"/>
  </sheetPr>
  <dimension ref="A1:B684"/>
  <sheetViews>
    <sheetView zoomScale="80" zoomScaleNormal="80" workbookViewId="0">
      <selection activeCell="B27" sqref="B27"/>
    </sheetView>
  </sheetViews>
  <sheetFormatPr defaultRowHeight="14.25"/>
  <cols>
    <col min="1" max="1" width="20.5" customWidth="1"/>
    <col min="2" max="2" width="64.875" customWidth="1"/>
  </cols>
  <sheetData>
    <row r="1" spans="1:2">
      <c r="A1" s="2" t="s">
        <v>13</v>
      </c>
      <c r="B1" s="2" t="s">
        <v>12</v>
      </c>
    </row>
    <row r="2" spans="1:2">
      <c r="A2" s="8">
        <v>43357.579317129632</v>
      </c>
      <c r="B2" s="2" t="s">
        <v>17</v>
      </c>
    </row>
    <row r="3" spans="1:2">
      <c r="A3" s="8">
        <v>43357.579351851855</v>
      </c>
      <c r="B3" s="2" t="s">
        <v>18</v>
      </c>
    </row>
    <row r="4" spans="1:2">
      <c r="A4" s="8">
        <v>43357.579675925925</v>
      </c>
      <c r="B4" s="2" t="s">
        <v>19</v>
      </c>
    </row>
    <row r="5" spans="1:2">
      <c r="A5" s="8">
        <v>43357.579699074071</v>
      </c>
      <c r="B5" s="2" t="s">
        <v>20</v>
      </c>
    </row>
    <row r="6" spans="1:2">
      <c r="A6" s="8">
        <v>43357.58053240741</v>
      </c>
      <c r="B6" s="2" t="s">
        <v>19</v>
      </c>
    </row>
    <row r="7" spans="1:2">
      <c r="A7" s="8">
        <v>43357.580543981479</v>
      </c>
      <c r="B7" s="2" t="s">
        <v>20</v>
      </c>
    </row>
    <row r="8" spans="1:2">
      <c r="A8" s="8">
        <v>43364.375659722224</v>
      </c>
      <c r="B8" s="2" t="s">
        <v>21</v>
      </c>
    </row>
    <row r="9" spans="1:2">
      <c r="A9" s="8">
        <v>43364.375694444447</v>
      </c>
      <c r="B9" s="2" t="s">
        <v>22</v>
      </c>
    </row>
    <row r="10" spans="1:2">
      <c r="A10" s="8">
        <v>43364.400023148148</v>
      </c>
      <c r="B10" s="2" t="s">
        <v>23</v>
      </c>
    </row>
    <row r="11" spans="1:2">
      <c r="A11" s="8">
        <v>43364.400046296294</v>
      </c>
      <c r="B11" s="2" t="s">
        <v>24</v>
      </c>
    </row>
    <row r="12" spans="1:2">
      <c r="A12" s="8">
        <v>43364.401319444441</v>
      </c>
      <c r="B12" s="2" t="s">
        <v>23</v>
      </c>
    </row>
    <row r="13" spans="1:2">
      <c r="A13" s="8">
        <v>43364.401331018518</v>
      </c>
      <c r="B13" s="2" t="s">
        <v>24</v>
      </c>
    </row>
    <row r="14" spans="1:2">
      <c r="A14" s="8">
        <v>43364.409305555557</v>
      </c>
      <c r="B14" s="2" t="s">
        <v>23</v>
      </c>
    </row>
    <row r="15" spans="1:2">
      <c r="A15" s="8">
        <v>43364.409328703703</v>
      </c>
      <c r="B15" s="2" t="s">
        <v>24</v>
      </c>
    </row>
    <row r="16" spans="1:2">
      <c r="A16" s="8">
        <v>43364.478900462964</v>
      </c>
      <c r="B16" s="2" t="s">
        <v>23</v>
      </c>
    </row>
    <row r="17" spans="1:2">
      <c r="A17" s="8">
        <v>43364.478912037041</v>
      </c>
      <c r="B17" s="2" t="s">
        <v>24</v>
      </c>
    </row>
    <row r="18" spans="1:2">
      <c r="A18" s="8">
        <v>43378.362847222219</v>
      </c>
      <c r="B18" s="2" t="s">
        <v>25</v>
      </c>
    </row>
    <row r="19" spans="1:2">
      <c r="A19" s="8">
        <v>43378.362870370373</v>
      </c>
      <c r="B19" s="2" t="s">
        <v>26</v>
      </c>
    </row>
    <row r="20" spans="1:2">
      <c r="A20" s="8">
        <v>43378.374178240738</v>
      </c>
      <c r="B20" s="2" t="s">
        <v>27</v>
      </c>
    </row>
    <row r="21" spans="1:2">
      <c r="A21" s="8">
        <v>43378.374201388891</v>
      </c>
      <c r="B21" s="2" t="s">
        <v>28</v>
      </c>
    </row>
    <row r="22" spans="1:2">
      <c r="A22" s="8">
        <v>43378.398599537039</v>
      </c>
      <c r="B22" s="2" t="s">
        <v>27</v>
      </c>
    </row>
    <row r="23" spans="1:2">
      <c r="A23" s="8">
        <v>43378.398622685185</v>
      </c>
      <c r="B23" s="2" t="s">
        <v>28</v>
      </c>
    </row>
    <row r="24" spans="1:2">
      <c r="A24" s="8">
        <v>43378.39880787037</v>
      </c>
      <c r="B24" s="2" t="s">
        <v>29</v>
      </c>
    </row>
    <row r="25" spans="1:2">
      <c r="A25" s="8">
        <v>43378.398831018516</v>
      </c>
      <c r="B25" s="2" t="s">
        <v>30</v>
      </c>
    </row>
    <row r="26" spans="1:2">
      <c r="A26" s="8">
        <v>43378.402766203704</v>
      </c>
      <c r="B26" s="2" t="s">
        <v>31</v>
      </c>
    </row>
    <row r="27" spans="1:2">
      <c r="A27" s="8">
        <v>43378.402777777781</v>
      </c>
      <c r="B27" s="2" t="s">
        <v>32</v>
      </c>
    </row>
    <row r="28" spans="1:2">
      <c r="A28" s="8">
        <v>43378.404108796298</v>
      </c>
      <c r="B28" s="2" t="s">
        <v>27</v>
      </c>
    </row>
    <row r="29" spans="1:2">
      <c r="A29" s="8">
        <v>43378.404120370367</v>
      </c>
      <c r="B29" s="2" t="s">
        <v>28</v>
      </c>
    </row>
    <row r="30" spans="1:2">
      <c r="A30" s="8">
        <v>43381.425740740742</v>
      </c>
      <c r="B30" s="2" t="s">
        <v>33</v>
      </c>
    </row>
    <row r="31" spans="1:2">
      <c r="A31" s="8">
        <v>43381.425752314812</v>
      </c>
      <c r="B31" s="2" t="s">
        <v>34</v>
      </c>
    </row>
    <row r="32" spans="1:2">
      <c r="A32" s="8">
        <v>43381.427384259259</v>
      </c>
      <c r="B32" s="2" t="s">
        <v>35</v>
      </c>
    </row>
    <row r="33" spans="1:2">
      <c r="A33" s="8">
        <v>43381.427395833336</v>
      </c>
      <c r="B33" s="2" t="s">
        <v>36</v>
      </c>
    </row>
    <row r="34" spans="1:2">
      <c r="A34" s="8">
        <v>43381.427881944444</v>
      </c>
      <c r="B34" s="2" t="s">
        <v>37</v>
      </c>
    </row>
    <row r="35" spans="1:2">
      <c r="A35" s="8">
        <v>43381.427905092591</v>
      </c>
      <c r="B35" s="2" t="s">
        <v>38</v>
      </c>
    </row>
    <row r="36" spans="1:2">
      <c r="A36" s="8">
        <v>43381.429456018515</v>
      </c>
      <c r="B36" s="2" t="s">
        <v>35</v>
      </c>
    </row>
    <row r="37" spans="1:2">
      <c r="A37" s="8">
        <v>43381.429467592592</v>
      </c>
      <c r="B37" s="2" t="s">
        <v>36</v>
      </c>
    </row>
    <row r="38" spans="1:2">
      <c r="A38" s="8">
        <v>43381.430173611108</v>
      </c>
      <c r="B38" s="2" t="s">
        <v>39</v>
      </c>
    </row>
    <row r="39" spans="1:2">
      <c r="A39" s="8">
        <v>43381.430185185185</v>
      </c>
      <c r="B39" s="2" t="s">
        <v>40</v>
      </c>
    </row>
    <row r="40" spans="1:2">
      <c r="A40" s="8">
        <v>43381.451817129629</v>
      </c>
      <c r="B40" s="2" t="s">
        <v>35</v>
      </c>
    </row>
    <row r="41" spans="1:2">
      <c r="A41" s="8">
        <v>43381.451863425929</v>
      </c>
      <c r="B41" s="2" t="s">
        <v>36</v>
      </c>
    </row>
    <row r="42" spans="1:2">
      <c r="A42" s="8">
        <v>43381.452048611114</v>
      </c>
      <c r="B42" s="2" t="s">
        <v>35</v>
      </c>
    </row>
    <row r="43" spans="1:2">
      <c r="A43" s="8">
        <v>43381.452060185184</v>
      </c>
      <c r="B43" s="2" t="s">
        <v>36</v>
      </c>
    </row>
    <row r="44" spans="1:2">
      <c r="A44" s="8">
        <v>43381.452141203707</v>
      </c>
      <c r="B44" s="2" t="s">
        <v>39</v>
      </c>
    </row>
    <row r="45" spans="1:2">
      <c r="A45" s="8">
        <v>43381.452152777776</v>
      </c>
      <c r="B45" s="2" t="s">
        <v>40</v>
      </c>
    </row>
    <row r="46" spans="1:2">
      <c r="A46" s="8">
        <v>43381.621516203704</v>
      </c>
      <c r="B46" s="2" t="s">
        <v>42</v>
      </c>
    </row>
    <row r="47" spans="1:2">
      <c r="A47" s="8">
        <v>43381.621527777781</v>
      </c>
      <c r="B47" s="2" t="s">
        <v>43</v>
      </c>
    </row>
    <row r="48" spans="1:2">
      <c r="A48" s="8">
        <v>43381.625289351854</v>
      </c>
      <c r="B48" s="2" t="s">
        <v>44</v>
      </c>
    </row>
    <row r="49" spans="1:2">
      <c r="A49" s="8">
        <v>43381.6253125</v>
      </c>
      <c r="B49" s="2" t="s">
        <v>45</v>
      </c>
    </row>
    <row r="50" spans="1:2">
      <c r="A50" s="8">
        <v>43381.625590277778</v>
      </c>
      <c r="B50" s="2" t="s">
        <v>46</v>
      </c>
    </row>
    <row r="51" spans="1:2">
      <c r="A51" s="8">
        <v>43381.625601851854</v>
      </c>
      <c r="B51" s="2" t="s">
        <v>47</v>
      </c>
    </row>
    <row r="52" spans="1:2">
      <c r="A52" s="8">
        <v>43381.631689814814</v>
      </c>
      <c r="B52" s="2" t="s">
        <v>44</v>
      </c>
    </row>
    <row r="53" spans="1:2">
      <c r="A53" s="8">
        <v>43381.631701388891</v>
      </c>
      <c r="B53" s="2" t="s">
        <v>45</v>
      </c>
    </row>
    <row r="54" spans="1:2">
      <c r="A54" s="8">
        <v>43381.633055555554</v>
      </c>
      <c r="B54" s="2" t="s">
        <v>44</v>
      </c>
    </row>
    <row r="55" spans="1:2">
      <c r="A55" s="8">
        <v>43381.633067129631</v>
      </c>
      <c r="B55" s="2" t="s">
        <v>45</v>
      </c>
    </row>
    <row r="56" spans="1:2">
      <c r="A56" s="8">
        <v>43381.633993055555</v>
      </c>
      <c r="B56" s="2" t="s">
        <v>44</v>
      </c>
    </row>
    <row r="57" spans="1:2">
      <c r="A57" s="8">
        <v>43381.634004629632</v>
      </c>
      <c r="B57" s="2" t="s">
        <v>45</v>
      </c>
    </row>
    <row r="58" spans="1:2">
      <c r="A58" s="8">
        <v>43381.636203703703</v>
      </c>
      <c r="B58" s="2" t="s">
        <v>44</v>
      </c>
    </row>
    <row r="59" spans="1:2">
      <c r="A59" s="8">
        <v>43381.63622685185</v>
      </c>
      <c r="B59" s="2" t="s">
        <v>45</v>
      </c>
    </row>
    <row r="60" spans="1:2">
      <c r="A60" s="8">
        <v>43381.636423611111</v>
      </c>
      <c r="B60" s="2" t="s">
        <v>44</v>
      </c>
    </row>
    <row r="61" spans="1:2">
      <c r="A61" s="8">
        <v>43381.636435185188</v>
      </c>
      <c r="B61" s="2" t="s">
        <v>45</v>
      </c>
    </row>
    <row r="62" spans="1:2">
      <c r="A62" s="8">
        <v>43381.6406712963</v>
      </c>
      <c r="B62" s="2" t="s">
        <v>48</v>
      </c>
    </row>
    <row r="63" spans="1:2">
      <c r="A63" s="8">
        <v>43381.640682870369</v>
      </c>
      <c r="B63" s="2" t="s">
        <v>49</v>
      </c>
    </row>
    <row r="64" spans="1:2">
      <c r="A64" s="8">
        <v>43381.649004629631</v>
      </c>
      <c r="B64" s="2" t="s">
        <v>48</v>
      </c>
    </row>
    <row r="65" spans="1:2">
      <c r="A65" s="8">
        <v>43381.649016203701</v>
      </c>
      <c r="B65" s="2" t="s">
        <v>49</v>
      </c>
    </row>
    <row r="66" spans="1:2">
      <c r="A66" s="8">
        <v>43382.385034722225</v>
      </c>
      <c r="B66" s="2" t="s">
        <v>48</v>
      </c>
    </row>
    <row r="67" spans="1:2">
      <c r="A67" s="8">
        <v>43382.385046296295</v>
      </c>
      <c r="B67" s="2" t="s">
        <v>49</v>
      </c>
    </row>
    <row r="68" spans="1:2">
      <c r="A68" s="8">
        <v>43382.466226851851</v>
      </c>
      <c r="B68" s="2" t="s">
        <v>48</v>
      </c>
    </row>
    <row r="69" spans="1:2">
      <c r="A69" s="8">
        <v>43382.466238425928</v>
      </c>
      <c r="B69" s="2" t="s">
        <v>49</v>
      </c>
    </row>
    <row r="70" spans="1:2">
      <c r="A70" s="8">
        <v>43382.483078703706</v>
      </c>
      <c r="B70" s="2" t="s">
        <v>48</v>
      </c>
    </row>
    <row r="71" spans="1:2">
      <c r="A71" s="8">
        <v>43382.483090277776</v>
      </c>
      <c r="B71" s="2" t="s">
        <v>49</v>
      </c>
    </row>
    <row r="72" spans="1:2">
      <c r="A72" s="8">
        <v>43385.601493055554</v>
      </c>
      <c r="B72" s="2" t="s">
        <v>50</v>
      </c>
    </row>
    <row r="73" spans="1:2">
      <c r="A73" s="8">
        <v>43385.6015162037</v>
      </c>
      <c r="B73" s="2" t="s">
        <v>51</v>
      </c>
    </row>
    <row r="74" spans="1:2">
      <c r="A74" s="8">
        <v>43385.620451388888</v>
      </c>
      <c r="B74" s="2" t="s">
        <v>52</v>
      </c>
    </row>
    <row r="75" spans="1:2">
      <c r="A75" s="8">
        <v>43385.620474537034</v>
      </c>
      <c r="B75" s="2" t="s">
        <v>53</v>
      </c>
    </row>
    <row r="76" spans="1:2">
      <c r="A76" s="8">
        <v>43385.692557870374</v>
      </c>
      <c r="B76" s="2" t="s">
        <v>52</v>
      </c>
    </row>
    <row r="77" spans="1:2">
      <c r="A77" s="8">
        <v>43385.692569444444</v>
      </c>
      <c r="B77" s="2" t="s">
        <v>53</v>
      </c>
    </row>
    <row r="78" spans="1:2">
      <c r="A78" s="8">
        <v>43388.383483796293</v>
      </c>
      <c r="B78" s="2" t="s">
        <v>52</v>
      </c>
    </row>
    <row r="79" spans="1:2">
      <c r="A79" s="8">
        <v>43388.383506944447</v>
      </c>
      <c r="B79" s="2" t="s">
        <v>53</v>
      </c>
    </row>
    <row r="80" spans="1:2">
      <c r="A80" s="8">
        <v>43388.401412037034</v>
      </c>
      <c r="B80" s="2" t="s">
        <v>52</v>
      </c>
    </row>
    <row r="81" spans="1:2">
      <c r="A81" s="8">
        <v>43388.401446759257</v>
      </c>
      <c r="B81" s="2" t="s">
        <v>53</v>
      </c>
    </row>
    <row r="82" spans="1:2">
      <c r="A82" s="8">
        <v>43388.401805555557</v>
      </c>
      <c r="B82" s="2" t="s">
        <v>52</v>
      </c>
    </row>
    <row r="83" spans="1:2">
      <c r="A83" s="8">
        <v>43388.401828703703</v>
      </c>
      <c r="B83" s="2" t="s">
        <v>53</v>
      </c>
    </row>
    <row r="84" spans="1:2">
      <c r="A84" s="8">
        <v>43388.561805555553</v>
      </c>
      <c r="B84" s="2" t="s">
        <v>54</v>
      </c>
    </row>
    <row r="85" spans="1:2">
      <c r="A85" s="8">
        <v>43388.561828703707</v>
      </c>
      <c r="B85" s="2" t="s">
        <v>55</v>
      </c>
    </row>
    <row r="86" spans="1:2">
      <c r="A86" s="8">
        <v>43388.563379629632</v>
      </c>
      <c r="B86" s="2" t="s">
        <v>56</v>
      </c>
    </row>
    <row r="87" spans="1:2">
      <c r="A87" s="8">
        <v>43388.563391203701</v>
      </c>
      <c r="B87" s="2" t="s">
        <v>57</v>
      </c>
    </row>
    <row r="88" spans="1:2">
      <c r="A88" s="8">
        <v>43388.630127314813</v>
      </c>
      <c r="B88" s="2" t="s">
        <v>58</v>
      </c>
    </row>
    <row r="89" spans="1:2">
      <c r="A89" s="8">
        <v>43388.63013888889</v>
      </c>
      <c r="B89" s="2" t="s">
        <v>59</v>
      </c>
    </row>
    <row r="90" spans="1:2">
      <c r="A90" s="8">
        <v>43388.63890046296</v>
      </c>
      <c r="B90" s="2" t="s">
        <v>60</v>
      </c>
    </row>
    <row r="91" spans="1:2">
      <c r="A91" s="8">
        <v>43388.638923611114</v>
      </c>
      <c r="B91" s="2" t="s">
        <v>61</v>
      </c>
    </row>
    <row r="92" spans="1:2">
      <c r="A92" s="8">
        <v>43388.639907407407</v>
      </c>
      <c r="B92" s="2" t="s">
        <v>60</v>
      </c>
    </row>
    <row r="93" spans="1:2">
      <c r="A93" s="8">
        <v>43388.639918981484</v>
      </c>
      <c r="B93" s="2" t="s">
        <v>61</v>
      </c>
    </row>
    <row r="94" spans="1:2">
      <c r="A94" s="8">
        <v>43389.422812500001</v>
      </c>
      <c r="B94" s="2" t="s">
        <v>62</v>
      </c>
    </row>
    <row r="95" spans="1:2">
      <c r="A95" s="8">
        <v>43389.422835648147</v>
      </c>
      <c r="B95" s="2" t="s">
        <v>63</v>
      </c>
    </row>
    <row r="96" spans="1:2">
      <c r="A96" s="8">
        <v>43389.423321759263</v>
      </c>
      <c r="B96" s="2" t="s">
        <v>62</v>
      </c>
    </row>
    <row r="97" spans="1:2">
      <c r="A97" s="8">
        <v>43389.423344907409</v>
      </c>
      <c r="B97" s="2" t="s">
        <v>63</v>
      </c>
    </row>
    <row r="98" spans="1:2">
      <c r="A98" s="8">
        <v>43389.431481481479</v>
      </c>
      <c r="B98" s="2" t="s">
        <v>64</v>
      </c>
    </row>
    <row r="99" spans="1:2">
      <c r="A99" s="8">
        <v>43389.431504629632</v>
      </c>
      <c r="B99" s="2" t="s">
        <v>65</v>
      </c>
    </row>
    <row r="100" spans="1:2">
      <c r="A100" s="8">
        <v>43389.433703703704</v>
      </c>
      <c r="B100" s="2" t="s">
        <v>64</v>
      </c>
    </row>
    <row r="101" spans="1:2">
      <c r="A101" s="8">
        <v>43389.43372685185</v>
      </c>
      <c r="B101" s="2" t="s">
        <v>65</v>
      </c>
    </row>
    <row r="102" spans="1:2">
      <c r="A102" s="8">
        <v>43389.438402777778</v>
      </c>
      <c r="B102" s="2" t="s">
        <v>64</v>
      </c>
    </row>
    <row r="103" spans="1:2">
      <c r="A103" s="8">
        <v>43389.438425925924</v>
      </c>
      <c r="B103" s="2" t="s">
        <v>65</v>
      </c>
    </row>
    <row r="104" spans="1:2">
      <c r="A104" s="8">
        <v>43392.563645833332</v>
      </c>
      <c r="B104" s="2" t="s">
        <v>66</v>
      </c>
    </row>
    <row r="105" spans="1:2">
      <c r="A105" s="8">
        <v>43392.563668981478</v>
      </c>
      <c r="B105" s="2" t="s">
        <v>67</v>
      </c>
    </row>
    <row r="106" spans="1:2">
      <c r="A106" s="8">
        <v>43392.580381944441</v>
      </c>
      <c r="B106" s="2" t="s">
        <v>68</v>
      </c>
    </row>
    <row r="107" spans="1:2">
      <c r="A107" s="8">
        <v>43392.580393518518</v>
      </c>
      <c r="B107" s="2" t="s">
        <v>69</v>
      </c>
    </row>
    <row r="108" spans="1:2">
      <c r="A108" s="8">
        <v>43395.328715277778</v>
      </c>
      <c r="B108" s="2" t="s">
        <v>68</v>
      </c>
    </row>
    <row r="109" spans="1:2">
      <c r="A109" s="8">
        <v>43395.329837962963</v>
      </c>
      <c r="B109" s="2" t="s">
        <v>69</v>
      </c>
    </row>
    <row r="110" spans="1:2">
      <c r="A110" s="8">
        <v>43396.698738425926</v>
      </c>
      <c r="B110" s="2" t="s">
        <v>70</v>
      </c>
    </row>
    <row r="111" spans="1:2">
      <c r="A111" s="8">
        <v>43396.698750000003</v>
      </c>
      <c r="B111" s="2" t="s">
        <v>71</v>
      </c>
    </row>
    <row r="112" spans="1:2">
      <c r="A112" s="8">
        <v>43396.699861111112</v>
      </c>
      <c r="B112" s="2" t="s">
        <v>72</v>
      </c>
    </row>
    <row r="113" spans="1:2">
      <c r="A113" s="8">
        <v>43396.699884259258</v>
      </c>
      <c r="B113" s="2" t="s">
        <v>73</v>
      </c>
    </row>
    <row r="114" spans="1:2">
      <c r="A114" s="8">
        <v>43396.704652777778</v>
      </c>
      <c r="B114" s="2" t="s">
        <v>74</v>
      </c>
    </row>
    <row r="115" spans="1:2">
      <c r="A115" s="8">
        <v>43396.704675925925</v>
      </c>
      <c r="B115" s="2" t="s">
        <v>75</v>
      </c>
    </row>
    <row r="116" spans="1:2">
      <c r="A116" s="8">
        <v>43396.708437499998</v>
      </c>
      <c r="B116" s="2" t="s">
        <v>74</v>
      </c>
    </row>
    <row r="117" spans="1:2">
      <c r="A117" s="8">
        <v>43396.708449074074</v>
      </c>
      <c r="B117" s="2" t="s">
        <v>75</v>
      </c>
    </row>
    <row r="118" spans="1:2">
      <c r="A118" s="8">
        <v>43396.710636574076</v>
      </c>
      <c r="B118" s="2" t="s">
        <v>74</v>
      </c>
    </row>
    <row r="119" spans="1:2">
      <c r="A119" s="8">
        <v>43396.710648148146</v>
      </c>
      <c r="B119" s="2" t="s">
        <v>75</v>
      </c>
    </row>
    <row r="120" spans="1:2">
      <c r="A120" s="8">
        <v>43397.581909722219</v>
      </c>
      <c r="B120" s="2" t="s">
        <v>76</v>
      </c>
    </row>
    <row r="121" spans="1:2">
      <c r="A121" s="8">
        <v>43397.581990740742</v>
      </c>
      <c r="B121" s="2" t="s">
        <v>70</v>
      </c>
    </row>
    <row r="122" spans="1:2">
      <c r="A122" s="8">
        <v>43397.582002314812</v>
      </c>
      <c r="B122" s="2" t="s">
        <v>71</v>
      </c>
    </row>
    <row r="123" spans="1:2">
      <c r="A123" s="8">
        <v>43397.586863425924</v>
      </c>
      <c r="B123" s="2" t="s">
        <v>77</v>
      </c>
    </row>
    <row r="124" spans="1:2">
      <c r="A124" s="8">
        <v>43397.586886574078</v>
      </c>
      <c r="B124" s="2" t="s">
        <v>78</v>
      </c>
    </row>
    <row r="125" spans="1:2">
      <c r="A125" s="8">
        <v>43399.550023148149</v>
      </c>
      <c r="B125" s="2" t="s">
        <v>79</v>
      </c>
    </row>
    <row r="126" spans="1:2">
      <c r="A126" s="8">
        <v>43399.550046296295</v>
      </c>
      <c r="B126" s="2" t="s">
        <v>80</v>
      </c>
    </row>
    <row r="127" spans="1:2">
      <c r="A127" s="8">
        <v>43399.560740740744</v>
      </c>
      <c r="B127" s="2" t="s">
        <v>81</v>
      </c>
    </row>
    <row r="128" spans="1:2">
      <c r="A128" s="8">
        <v>43399.560752314814</v>
      </c>
      <c r="B128" s="2" t="s">
        <v>82</v>
      </c>
    </row>
    <row r="129" spans="1:2">
      <c r="A129" s="8">
        <v>43399.599942129629</v>
      </c>
      <c r="B129" s="2" t="s">
        <v>81</v>
      </c>
    </row>
    <row r="130" spans="1:2">
      <c r="A130" s="8">
        <v>43399.599953703706</v>
      </c>
      <c r="B130" s="2" t="s">
        <v>82</v>
      </c>
    </row>
    <row r="131" spans="1:2">
      <c r="A131" s="8">
        <v>43399.601041666669</v>
      </c>
      <c r="B131" s="2" t="s">
        <v>81</v>
      </c>
    </row>
    <row r="132" spans="1:2">
      <c r="A132" s="8">
        <v>43399.601076388892</v>
      </c>
      <c r="B132" s="2" t="s">
        <v>82</v>
      </c>
    </row>
    <row r="133" spans="1:2">
      <c r="A133" s="8">
        <v>43399.601493055554</v>
      </c>
      <c r="B133" s="2" t="s">
        <v>81</v>
      </c>
    </row>
    <row r="134" spans="1:2">
      <c r="A134" s="8">
        <v>43399.601504629631</v>
      </c>
      <c r="B134" s="2" t="s">
        <v>82</v>
      </c>
    </row>
    <row r="135" spans="1:2">
      <c r="A135" s="8">
        <v>43399.614004629628</v>
      </c>
      <c r="B135" s="2" t="s">
        <v>81</v>
      </c>
    </row>
    <row r="136" spans="1:2">
      <c r="A136" s="8">
        <v>43399.614016203705</v>
      </c>
      <c r="B136" s="2" t="s">
        <v>82</v>
      </c>
    </row>
    <row r="137" spans="1:2">
      <c r="A137" s="8">
        <v>43399.614189814813</v>
      </c>
      <c r="B137" s="2" t="s">
        <v>81</v>
      </c>
    </row>
    <row r="138" spans="1:2">
      <c r="A138" s="8">
        <v>43399.614212962966</v>
      </c>
      <c r="B138" s="2" t="s">
        <v>82</v>
      </c>
    </row>
    <row r="139" spans="1:2">
      <c r="A139" s="8">
        <v>43399.614629629628</v>
      </c>
      <c r="B139" s="2" t="s">
        <v>81</v>
      </c>
    </row>
    <row r="140" spans="1:2">
      <c r="A140" s="8">
        <v>43399.614641203705</v>
      </c>
      <c r="B140" s="2" t="s">
        <v>82</v>
      </c>
    </row>
    <row r="141" spans="1:2">
      <c r="A141" s="8">
        <v>43399.614814814813</v>
      </c>
      <c r="B141" s="2" t="s">
        <v>81</v>
      </c>
    </row>
    <row r="142" spans="1:2">
      <c r="A142" s="8">
        <v>43399.614837962959</v>
      </c>
      <c r="B142" s="2" t="s">
        <v>82</v>
      </c>
    </row>
    <row r="143" spans="1:2">
      <c r="A143" s="8">
        <v>43399.68072916667</v>
      </c>
      <c r="B143" s="2" t="s">
        <v>83</v>
      </c>
    </row>
    <row r="144" spans="1:2">
      <c r="A144" s="8">
        <v>43399.680752314816</v>
      </c>
      <c r="B144" s="2" t="s">
        <v>84</v>
      </c>
    </row>
    <row r="145" spans="1:2">
      <c r="A145" s="8">
        <v>43399.685370370367</v>
      </c>
      <c r="B145" s="2" t="s">
        <v>85</v>
      </c>
    </row>
    <row r="146" spans="1:2">
      <c r="A146" s="8">
        <v>43399.685393518521</v>
      </c>
      <c r="B146" s="2" t="s">
        <v>86</v>
      </c>
    </row>
    <row r="147" spans="1:2">
      <c r="A147" s="8">
        <v>43402.608275462961</v>
      </c>
      <c r="B147" s="2" t="s">
        <v>87</v>
      </c>
    </row>
    <row r="148" spans="1:2">
      <c r="A148" s="8">
        <v>43402.608298611114</v>
      </c>
      <c r="B148" s="2" t="s">
        <v>88</v>
      </c>
    </row>
    <row r="149" spans="1:2">
      <c r="A149" s="8">
        <v>43402.612511574072</v>
      </c>
      <c r="B149" s="2" t="s">
        <v>89</v>
      </c>
    </row>
    <row r="150" spans="1:2">
      <c r="A150" s="8">
        <v>43402.612523148149</v>
      </c>
      <c r="B150" s="2" t="s">
        <v>90</v>
      </c>
    </row>
    <row r="151" spans="1:2">
      <c r="A151" s="8">
        <v>43402.619583333333</v>
      </c>
      <c r="B151" s="2" t="s">
        <v>91</v>
      </c>
    </row>
    <row r="152" spans="1:2">
      <c r="A152" s="8">
        <v>43402.619710648149</v>
      </c>
      <c r="B152" s="2" t="s">
        <v>92</v>
      </c>
    </row>
    <row r="153" spans="1:2">
      <c r="A153" s="8">
        <v>43402.62027777778</v>
      </c>
      <c r="B153" s="2" t="s">
        <v>91</v>
      </c>
    </row>
    <row r="154" spans="1:2">
      <c r="A154" s="8">
        <v>43402.620289351849</v>
      </c>
      <c r="B154" s="2" t="s">
        <v>92</v>
      </c>
    </row>
    <row r="155" spans="1:2">
      <c r="A155" s="8">
        <v>43403.500960648147</v>
      </c>
      <c r="B155" s="2" t="s">
        <v>91</v>
      </c>
    </row>
    <row r="156" spans="1:2">
      <c r="A156" s="8">
        <v>43403.500983796293</v>
      </c>
      <c r="B156" s="2" t="s">
        <v>92</v>
      </c>
    </row>
    <row r="157" spans="1:2">
      <c r="A157" s="8">
        <v>43403.501516203702</v>
      </c>
      <c r="B157" s="2" t="s">
        <v>91</v>
      </c>
    </row>
    <row r="158" spans="1:2">
      <c r="A158" s="8">
        <v>43403.501539351855</v>
      </c>
      <c r="B158" s="2" t="s">
        <v>92</v>
      </c>
    </row>
    <row r="159" spans="1:2">
      <c r="A159" s="8">
        <v>43403.548078703701</v>
      </c>
      <c r="B159" s="2" t="s">
        <v>91</v>
      </c>
    </row>
    <row r="160" spans="1:2">
      <c r="A160" s="8">
        <v>43403.548090277778</v>
      </c>
      <c r="B160" s="2" t="s">
        <v>92</v>
      </c>
    </row>
    <row r="161" spans="1:2">
      <c r="A161" s="8">
        <v>43403.55</v>
      </c>
      <c r="B161" s="2" t="s">
        <v>91</v>
      </c>
    </row>
    <row r="162" spans="1:2">
      <c r="A162" s="8">
        <v>43403.550023148149</v>
      </c>
      <c r="B162" s="2" t="s">
        <v>92</v>
      </c>
    </row>
    <row r="163" spans="1:2">
      <c r="A163" s="8">
        <v>43403.55064814815</v>
      </c>
      <c r="B163" s="2" t="s">
        <v>91</v>
      </c>
    </row>
    <row r="164" spans="1:2">
      <c r="A164" s="8">
        <v>43403.550659722219</v>
      </c>
      <c r="B164" s="2" t="s">
        <v>92</v>
      </c>
    </row>
    <row r="165" spans="1:2">
      <c r="A165" s="8">
        <v>43403.551122685189</v>
      </c>
      <c r="B165" s="2" t="s">
        <v>91</v>
      </c>
    </row>
    <row r="166" spans="1:2">
      <c r="A166" s="8">
        <v>43403.551145833335</v>
      </c>
      <c r="B166" s="2" t="s">
        <v>92</v>
      </c>
    </row>
    <row r="167" spans="1:2">
      <c r="A167" s="8">
        <v>43403.564421296294</v>
      </c>
      <c r="B167" s="2" t="s">
        <v>91</v>
      </c>
    </row>
    <row r="168" spans="1:2">
      <c r="A168" s="8">
        <v>43403.564456018517</v>
      </c>
      <c r="B168" s="2" t="s">
        <v>92</v>
      </c>
    </row>
    <row r="169" spans="1:2">
      <c r="A169" s="8">
        <v>43403.565057870372</v>
      </c>
      <c r="B169" s="2" t="s">
        <v>91</v>
      </c>
    </row>
    <row r="170" spans="1:2">
      <c r="A170" s="8">
        <v>43403.565069444441</v>
      </c>
      <c r="B170" s="2" t="s">
        <v>92</v>
      </c>
    </row>
    <row r="171" spans="1:2">
      <c r="A171" s="8">
        <v>43403.565393518518</v>
      </c>
      <c r="B171" s="2" t="s">
        <v>91</v>
      </c>
    </row>
    <row r="172" spans="1:2">
      <c r="A172" s="8">
        <v>43403.565405092595</v>
      </c>
      <c r="B172" s="2" t="s">
        <v>92</v>
      </c>
    </row>
    <row r="173" spans="1:2">
      <c r="A173" s="8">
        <v>43403.566458333335</v>
      </c>
      <c r="B173" s="2" t="s">
        <v>91</v>
      </c>
    </row>
    <row r="174" spans="1:2">
      <c r="A174" s="8">
        <v>43403.566481481481</v>
      </c>
      <c r="B174" s="2" t="s">
        <v>92</v>
      </c>
    </row>
    <row r="175" spans="1:2">
      <c r="A175" s="8">
        <v>43403.56890046296</v>
      </c>
      <c r="B175" s="2" t="s">
        <v>93</v>
      </c>
    </row>
    <row r="176" spans="1:2">
      <c r="A176" s="8">
        <v>43403.568958333337</v>
      </c>
      <c r="B176" s="2" t="s">
        <v>94</v>
      </c>
    </row>
    <row r="177" spans="1:2">
      <c r="A177" s="8">
        <v>43403.569050925929</v>
      </c>
      <c r="B177" s="2" t="s">
        <v>93</v>
      </c>
    </row>
    <row r="178" spans="1:2">
      <c r="A178" s="8">
        <v>43403.569062499999</v>
      </c>
      <c r="B178" s="2" t="s">
        <v>95</v>
      </c>
    </row>
    <row r="179" spans="1:2">
      <c r="A179" s="8">
        <v>43403.577743055554</v>
      </c>
      <c r="B179" s="2" t="s">
        <v>91</v>
      </c>
    </row>
    <row r="180" spans="1:2">
      <c r="A180" s="8">
        <v>43403.577766203707</v>
      </c>
      <c r="B180" s="2" t="s">
        <v>92</v>
      </c>
    </row>
    <row r="181" spans="1:2">
      <c r="A181" s="8">
        <v>43403.583402777775</v>
      </c>
      <c r="B181" s="2" t="s">
        <v>96</v>
      </c>
    </row>
    <row r="182" spans="1:2">
      <c r="A182" s="8">
        <v>43403.583414351851</v>
      </c>
      <c r="B182" s="2" t="s">
        <v>97</v>
      </c>
    </row>
    <row r="183" spans="1:2">
      <c r="A183" s="8">
        <v>43403.583958333336</v>
      </c>
      <c r="B183" s="2" t="s">
        <v>96</v>
      </c>
    </row>
    <row r="184" spans="1:2">
      <c r="A184" s="8">
        <v>43403.583981481483</v>
      </c>
      <c r="B184" s="2" t="s">
        <v>97</v>
      </c>
    </row>
    <row r="185" spans="1:2">
      <c r="A185" s="8">
        <v>43403.584768518522</v>
      </c>
      <c r="B185" s="2" t="s">
        <v>96</v>
      </c>
    </row>
    <row r="186" spans="1:2">
      <c r="A186" s="8">
        <v>43403.584780092591</v>
      </c>
      <c r="B186" s="2" t="s">
        <v>97</v>
      </c>
    </row>
    <row r="187" spans="1:2">
      <c r="A187" s="8">
        <v>43403.585381944446</v>
      </c>
      <c r="B187" s="2" t="s">
        <v>96</v>
      </c>
    </row>
    <row r="188" spans="1:2">
      <c r="A188" s="8">
        <v>43403.585393518515</v>
      </c>
      <c r="B188" s="2" t="s">
        <v>97</v>
      </c>
    </row>
    <row r="189" spans="1:2">
      <c r="A189" s="8">
        <v>43403.587071759262</v>
      </c>
      <c r="B189" s="2" t="s">
        <v>96</v>
      </c>
    </row>
    <row r="190" spans="1:2">
      <c r="A190" s="8">
        <v>43403.587094907409</v>
      </c>
      <c r="B190" s="2" t="s">
        <v>97</v>
      </c>
    </row>
    <row r="191" spans="1:2">
      <c r="A191" s="8">
        <v>43403.587418981479</v>
      </c>
      <c r="B191" s="2" t="s">
        <v>96</v>
      </c>
    </row>
    <row r="192" spans="1:2">
      <c r="A192" s="8">
        <v>43403.587430555555</v>
      </c>
      <c r="B192" s="2" t="s">
        <v>97</v>
      </c>
    </row>
    <row r="193" spans="1:2">
      <c r="A193" s="8">
        <v>43403.587569444448</v>
      </c>
      <c r="B193" s="2" t="s">
        <v>96</v>
      </c>
    </row>
    <row r="194" spans="1:2">
      <c r="A194" s="8">
        <v>43403.587581018517</v>
      </c>
      <c r="B194" s="2" t="s">
        <v>97</v>
      </c>
    </row>
    <row r="195" spans="1:2">
      <c r="A195" s="8">
        <v>43403.665381944447</v>
      </c>
      <c r="B195" s="2" t="s">
        <v>91</v>
      </c>
    </row>
    <row r="196" spans="1:2">
      <c r="A196" s="8">
        <v>43403.665393518517</v>
      </c>
      <c r="B196" s="2" t="s">
        <v>92</v>
      </c>
    </row>
    <row r="197" spans="1:2">
      <c r="A197" s="8">
        <v>43403.665983796294</v>
      </c>
      <c r="B197" s="2" t="s">
        <v>91</v>
      </c>
    </row>
    <row r="198" spans="1:2">
      <c r="A198" s="8">
        <v>43403.665995370371</v>
      </c>
      <c r="B198" s="2" t="s">
        <v>92</v>
      </c>
    </row>
    <row r="199" spans="1:2">
      <c r="A199" s="8">
        <v>43403.667268518519</v>
      </c>
      <c r="B199" s="2" t="s">
        <v>96</v>
      </c>
    </row>
    <row r="200" spans="1:2">
      <c r="A200" s="8">
        <v>43403.667280092595</v>
      </c>
      <c r="B200" s="2" t="s">
        <v>97</v>
      </c>
    </row>
    <row r="201" spans="1:2">
      <c r="A201" s="8">
        <v>43403.685358796298</v>
      </c>
      <c r="B201" s="2" t="s">
        <v>87</v>
      </c>
    </row>
    <row r="202" spans="1:2">
      <c r="A202" s="8">
        <v>43403.685381944444</v>
      </c>
      <c r="B202" s="2" t="s">
        <v>88</v>
      </c>
    </row>
    <row r="203" spans="1:2">
      <c r="A203" s="8">
        <v>43403.689803240741</v>
      </c>
      <c r="B203" s="2" t="s">
        <v>98</v>
      </c>
    </row>
    <row r="204" spans="1:2">
      <c r="A204" s="8">
        <v>43403.689814814818</v>
      </c>
      <c r="B204" s="2" t="s">
        <v>99</v>
      </c>
    </row>
    <row r="205" spans="1:2">
      <c r="A205" s="8">
        <v>43403.690057870372</v>
      </c>
      <c r="B205" s="2" t="s">
        <v>98</v>
      </c>
    </row>
    <row r="206" spans="1:2">
      <c r="A206" s="8">
        <v>43403.690069444441</v>
      </c>
      <c r="B206" s="2" t="s">
        <v>99</v>
      </c>
    </row>
    <row r="207" spans="1:2">
      <c r="A207" s="8">
        <v>43403.693298611113</v>
      </c>
      <c r="B207" s="2" t="s">
        <v>98</v>
      </c>
    </row>
    <row r="208" spans="1:2">
      <c r="A208" s="8">
        <v>43403.693310185183</v>
      </c>
      <c r="B208" s="2" t="s">
        <v>99</v>
      </c>
    </row>
    <row r="209" spans="1:2">
      <c r="A209" s="8">
        <v>43404.562534722223</v>
      </c>
      <c r="B209" s="2" t="s">
        <v>100</v>
      </c>
    </row>
    <row r="210" spans="1:2">
      <c r="A210" s="8">
        <v>43404.562557870369</v>
      </c>
      <c r="B210" s="2" t="s">
        <v>101</v>
      </c>
    </row>
    <row r="211" spans="1:2">
      <c r="A211" s="8">
        <v>43404.581724537034</v>
      </c>
      <c r="B211" s="2" t="s">
        <v>102</v>
      </c>
    </row>
    <row r="212" spans="1:2">
      <c r="A212" s="8">
        <v>43404.581747685188</v>
      </c>
      <c r="B212" s="2" t="s">
        <v>103</v>
      </c>
    </row>
    <row r="213" spans="1:2">
      <c r="A213" s="8">
        <v>43404.612592592595</v>
      </c>
      <c r="B213" s="2" t="s">
        <v>102</v>
      </c>
    </row>
    <row r="214" spans="1:2">
      <c r="A214" s="8">
        <v>43404.612627314818</v>
      </c>
      <c r="B214" s="2" t="s">
        <v>103</v>
      </c>
    </row>
    <row r="215" spans="1:2">
      <c r="A215" s="8">
        <v>43404.612951388888</v>
      </c>
      <c r="B215" s="2" t="s">
        <v>102</v>
      </c>
    </row>
    <row r="216" spans="1:2">
      <c r="A216" s="8">
        <v>43404.612986111111</v>
      </c>
      <c r="B216" s="2" t="s">
        <v>103</v>
      </c>
    </row>
    <row r="217" spans="1:2">
      <c r="A217" s="8">
        <v>43404.614293981482</v>
      </c>
      <c r="B217" s="2" t="s">
        <v>102</v>
      </c>
    </row>
    <row r="218" spans="1:2">
      <c r="A218" s="8">
        <v>43404.614305555559</v>
      </c>
      <c r="B218" s="2" t="s">
        <v>103</v>
      </c>
    </row>
    <row r="219" spans="1:2">
      <c r="A219" s="8">
        <v>43409.634340277778</v>
      </c>
      <c r="B219" s="2" t="s">
        <v>104</v>
      </c>
    </row>
    <row r="220" spans="1:2">
      <c r="A220" s="8">
        <v>43409.634363425925</v>
      </c>
      <c r="B220" s="2" t="s">
        <v>105</v>
      </c>
    </row>
    <row r="221" spans="1:2">
      <c r="A221" s="8">
        <v>43409.645416666666</v>
      </c>
      <c r="B221" s="2" t="s">
        <v>106</v>
      </c>
    </row>
    <row r="222" spans="1:2">
      <c r="A222" s="8">
        <v>43409.645439814813</v>
      </c>
      <c r="B222" s="2" t="s">
        <v>107</v>
      </c>
    </row>
    <row r="223" spans="1:2">
      <c r="A223" s="8">
        <v>43409.64603009259</v>
      </c>
      <c r="B223" s="2" t="s">
        <v>106</v>
      </c>
    </row>
    <row r="224" spans="1:2">
      <c r="A224" s="8">
        <v>43409.646053240744</v>
      </c>
      <c r="B224" s="2" t="s">
        <v>107</v>
      </c>
    </row>
    <row r="225" spans="1:2">
      <c r="A225" s="8">
        <v>43409.646238425928</v>
      </c>
      <c r="B225" s="2" t="s">
        <v>106</v>
      </c>
    </row>
    <row r="226" spans="1:2">
      <c r="A226" s="8">
        <v>43409.646261574075</v>
      </c>
      <c r="B226" s="2" t="s">
        <v>107</v>
      </c>
    </row>
    <row r="227" spans="1:2">
      <c r="A227" s="8">
        <v>43411.58321759259</v>
      </c>
      <c r="B227" s="2" t="s">
        <v>108</v>
      </c>
    </row>
    <row r="228" spans="1:2">
      <c r="A228" s="8">
        <v>43411.583240740743</v>
      </c>
      <c r="B228" s="2" t="s">
        <v>109</v>
      </c>
    </row>
    <row r="229" spans="1:2">
      <c r="A229" s="8">
        <v>43411.591157407405</v>
      </c>
      <c r="B229" s="2" t="s">
        <v>110</v>
      </c>
    </row>
    <row r="230" spans="1:2">
      <c r="A230" s="8">
        <v>43411.591180555559</v>
      </c>
      <c r="B230" s="2" t="s">
        <v>111</v>
      </c>
    </row>
    <row r="231" spans="1:2">
      <c r="A231" s="8">
        <v>43411.591307870367</v>
      </c>
      <c r="B231" s="2" t="s">
        <v>110</v>
      </c>
    </row>
    <row r="232" spans="1:2">
      <c r="A232" s="8">
        <v>43411.591319444444</v>
      </c>
      <c r="B232" s="2" t="s">
        <v>111</v>
      </c>
    </row>
    <row r="233" spans="1:2">
      <c r="A233" s="8">
        <v>43419.421284722222</v>
      </c>
      <c r="B233" s="2" t="s">
        <v>112</v>
      </c>
    </row>
    <row r="234" spans="1:2">
      <c r="A234" s="8">
        <v>43419.421296296299</v>
      </c>
      <c r="B234" s="2" t="s">
        <v>113</v>
      </c>
    </row>
    <row r="235" spans="1:2">
      <c r="A235" s="8">
        <v>43419.426122685189</v>
      </c>
      <c r="B235" s="2" t="s">
        <v>114</v>
      </c>
    </row>
    <row r="236" spans="1:2">
      <c r="A236" s="8">
        <v>43419.426145833335</v>
      </c>
      <c r="B236" s="2" t="s">
        <v>115</v>
      </c>
    </row>
    <row r="237" spans="1:2">
      <c r="A237" s="8">
        <v>43419.427835648145</v>
      </c>
      <c r="B237" s="2" t="s">
        <v>114</v>
      </c>
    </row>
    <row r="238" spans="1:2">
      <c r="A238" s="8">
        <v>43419.427858796298</v>
      </c>
      <c r="B238" s="2" t="s">
        <v>115</v>
      </c>
    </row>
    <row r="239" spans="1:2">
      <c r="A239" s="8">
        <v>43419.429942129631</v>
      </c>
      <c r="B239" s="2" t="s">
        <v>114</v>
      </c>
    </row>
    <row r="240" spans="1:2">
      <c r="A240" s="8">
        <v>43419.4299537037</v>
      </c>
      <c r="B240" s="2" t="s">
        <v>115</v>
      </c>
    </row>
    <row r="241" spans="1:2">
      <c r="A241" s="8">
        <v>43419.432905092595</v>
      </c>
      <c r="B241" s="2" t="s">
        <v>114</v>
      </c>
    </row>
    <row r="242" spans="1:2">
      <c r="A242" s="8">
        <v>43419.432916666665</v>
      </c>
      <c r="B242" s="2" t="s">
        <v>115</v>
      </c>
    </row>
    <row r="243" spans="1:2">
      <c r="A243" s="8">
        <v>43419.549675925926</v>
      </c>
      <c r="B243" s="2" t="s">
        <v>116</v>
      </c>
    </row>
    <row r="244" spans="1:2">
      <c r="A244" s="8">
        <v>43419.549699074072</v>
      </c>
      <c r="B244" s="2" t="s">
        <v>117</v>
      </c>
    </row>
    <row r="245" spans="1:2">
      <c r="A245" s="8">
        <v>43419.55128472222</v>
      </c>
      <c r="B245" s="2" t="s">
        <v>118</v>
      </c>
    </row>
    <row r="246" spans="1:2">
      <c r="A246" s="8">
        <v>43419.551296296297</v>
      </c>
      <c r="B246" s="2" t="s">
        <v>119</v>
      </c>
    </row>
    <row r="247" spans="1:2">
      <c r="A247" s="8">
        <v>43419.55228009259</v>
      </c>
      <c r="B247" s="2" t="s">
        <v>118</v>
      </c>
    </row>
    <row r="248" spans="1:2">
      <c r="A248" s="8">
        <v>43419.552303240744</v>
      </c>
      <c r="B248" s="2" t="s">
        <v>119</v>
      </c>
    </row>
    <row r="249" spans="1:2">
      <c r="A249" s="8">
        <v>43424.669583333336</v>
      </c>
      <c r="B249" s="2" t="s">
        <v>120</v>
      </c>
    </row>
    <row r="250" spans="1:2">
      <c r="A250" s="8">
        <v>43424.669594907406</v>
      </c>
      <c r="B250" s="2" t="s">
        <v>121</v>
      </c>
    </row>
    <row r="251" spans="1:2">
      <c r="A251" s="8">
        <v>43424.674745370372</v>
      </c>
      <c r="B251" s="2" t="s">
        <v>122</v>
      </c>
    </row>
    <row r="252" spans="1:2">
      <c r="A252" s="8">
        <v>43424.674756944441</v>
      </c>
      <c r="B252" s="2" t="s">
        <v>123</v>
      </c>
    </row>
    <row r="253" spans="1:2">
      <c r="A253" s="8">
        <v>43424.691030092596</v>
      </c>
      <c r="B253" s="2" t="s">
        <v>122</v>
      </c>
    </row>
    <row r="254" spans="1:2">
      <c r="A254" s="8">
        <v>43424.691608796296</v>
      </c>
      <c r="B254" s="2" t="s">
        <v>123</v>
      </c>
    </row>
    <row r="255" spans="1:2">
      <c r="A255" s="8">
        <v>43424.692083333335</v>
      </c>
      <c r="B255" s="2" t="s">
        <v>122</v>
      </c>
    </row>
    <row r="256" spans="1:2">
      <c r="A256" s="8">
        <v>43424.692106481481</v>
      </c>
      <c r="B256" s="2" t="s">
        <v>123</v>
      </c>
    </row>
    <row r="257" spans="1:2">
      <c r="A257" s="8">
        <v>43425.584143518521</v>
      </c>
      <c r="B257" s="2" t="s">
        <v>124</v>
      </c>
    </row>
    <row r="258" spans="1:2">
      <c r="A258" s="8">
        <v>43425.584166666667</v>
      </c>
      <c r="B258" s="2" t="s">
        <v>125</v>
      </c>
    </row>
    <row r="259" spans="1:2">
      <c r="A259" s="8">
        <v>43425.58766203704</v>
      </c>
      <c r="B259" s="2" t="s">
        <v>126</v>
      </c>
    </row>
    <row r="260" spans="1:2">
      <c r="A260" s="8">
        <v>43425.587696759256</v>
      </c>
      <c r="B260" s="2" t="s">
        <v>127</v>
      </c>
    </row>
    <row r="261" spans="1:2">
      <c r="A261" s="8">
        <v>43425.588356481479</v>
      </c>
      <c r="B261" s="2" t="s">
        <v>126</v>
      </c>
    </row>
    <row r="262" spans="1:2">
      <c r="A262" s="8">
        <v>43425.588391203702</v>
      </c>
      <c r="B262" s="2" t="s">
        <v>127</v>
      </c>
    </row>
    <row r="263" spans="1:2">
      <c r="A263" s="8">
        <v>43427.347245370373</v>
      </c>
      <c r="B263" s="2" t="s">
        <v>126</v>
      </c>
    </row>
    <row r="264" spans="1:2">
      <c r="A264" s="8">
        <v>43427.347280092596</v>
      </c>
      <c r="B264" s="2" t="s">
        <v>127</v>
      </c>
    </row>
    <row r="265" spans="1:2">
      <c r="A265" s="8">
        <v>43427.347546296296</v>
      </c>
      <c r="B265" s="2" t="s">
        <v>126</v>
      </c>
    </row>
    <row r="266" spans="1:2">
      <c r="A266" s="8">
        <v>43427.347557870373</v>
      </c>
      <c r="B266" s="2" t="s">
        <v>127</v>
      </c>
    </row>
    <row r="267" spans="1:2">
      <c r="A267" s="8">
        <v>43437.374849537038</v>
      </c>
      <c r="B267" s="2" t="s">
        <v>128</v>
      </c>
    </row>
    <row r="268" spans="1:2">
      <c r="A268" s="8">
        <v>43437.374861111108</v>
      </c>
      <c r="B268" s="2" t="s">
        <v>129</v>
      </c>
    </row>
    <row r="269" spans="1:2">
      <c r="A269" s="8">
        <v>43437.378993055558</v>
      </c>
      <c r="B269" s="2" t="s">
        <v>130</v>
      </c>
    </row>
    <row r="270" spans="1:2">
      <c r="A270" s="8">
        <v>43437.379016203704</v>
      </c>
      <c r="B270" s="2" t="s">
        <v>131</v>
      </c>
    </row>
    <row r="271" spans="1:2">
      <c r="A271" s="8">
        <v>43437.379479166666</v>
      </c>
      <c r="B271" s="2" t="s">
        <v>130</v>
      </c>
    </row>
    <row r="272" spans="1:2">
      <c r="A272" s="8">
        <v>43437.379490740743</v>
      </c>
      <c r="B272" s="2" t="s">
        <v>131</v>
      </c>
    </row>
    <row r="273" spans="1:2">
      <c r="A273" s="8">
        <v>43437.381990740738</v>
      </c>
      <c r="B273" s="2" t="s">
        <v>130</v>
      </c>
    </row>
    <row r="274" spans="1:2">
      <c r="A274" s="8">
        <v>43437.382013888891</v>
      </c>
      <c r="B274" s="2" t="s">
        <v>131</v>
      </c>
    </row>
    <row r="275" spans="1:2">
      <c r="A275" s="8">
        <v>43446.618171296293</v>
      </c>
      <c r="B275" s="2" t="s">
        <v>132</v>
      </c>
    </row>
    <row r="276" spans="1:2">
      <c r="A276" s="8">
        <v>43446.618194444447</v>
      </c>
      <c r="B276" s="2" t="s">
        <v>133</v>
      </c>
    </row>
    <row r="277" spans="1:2">
      <c r="A277" s="8">
        <v>43479.557233796295</v>
      </c>
      <c r="B277" s="2" t="s">
        <v>134</v>
      </c>
    </row>
    <row r="278" spans="1:2">
      <c r="A278" s="8">
        <v>43481.364768518521</v>
      </c>
      <c r="B278" s="2" t="s">
        <v>135</v>
      </c>
    </row>
    <row r="279" spans="1:2">
      <c r="A279" s="8">
        <v>43481.36478009259</v>
      </c>
      <c r="B279" s="2" t="s">
        <v>136</v>
      </c>
    </row>
    <row r="280" spans="1:2">
      <c r="A280" s="8">
        <v>43481.366550925923</v>
      </c>
      <c r="B280" s="2" t="s">
        <v>137</v>
      </c>
    </row>
    <row r="281" spans="1:2">
      <c r="A281" s="8">
        <v>43481.368518518517</v>
      </c>
      <c r="B281" s="2" t="s">
        <v>135</v>
      </c>
    </row>
    <row r="282" spans="1:2">
      <c r="A282" s="8">
        <v>43481.36855324074</v>
      </c>
      <c r="B282" s="2" t="s">
        <v>138</v>
      </c>
    </row>
    <row r="283" spans="1:2">
      <c r="A283" s="8">
        <v>43481.368657407409</v>
      </c>
      <c r="B283" s="2" t="s">
        <v>135</v>
      </c>
    </row>
    <row r="284" spans="1:2">
      <c r="A284" s="8">
        <v>43481.368680555555</v>
      </c>
      <c r="B284" s="2" t="s">
        <v>136</v>
      </c>
    </row>
    <row r="285" spans="1:2">
      <c r="A285" s="8">
        <v>43481.376168981478</v>
      </c>
      <c r="B285" s="2" t="s">
        <v>139</v>
      </c>
    </row>
    <row r="286" spans="1:2">
      <c r="A286" s="8">
        <v>43481.376192129632</v>
      </c>
      <c r="B286" s="2" t="s">
        <v>137</v>
      </c>
    </row>
    <row r="287" spans="1:2">
      <c r="A287" s="8">
        <v>43481.376539351855</v>
      </c>
      <c r="B287" s="2" t="s">
        <v>137</v>
      </c>
    </row>
    <row r="288" spans="1:2">
      <c r="A288" s="8">
        <v>43481.435370370367</v>
      </c>
      <c r="B288" s="2" t="s">
        <v>140</v>
      </c>
    </row>
    <row r="289" spans="1:2">
      <c r="A289" s="8">
        <v>43481.435381944444</v>
      </c>
      <c r="B289" s="2" t="s">
        <v>141</v>
      </c>
    </row>
    <row r="290" spans="1:2">
      <c r="A290" s="8">
        <v>43481.452199074076</v>
      </c>
      <c r="B290" s="2" t="s">
        <v>142</v>
      </c>
    </row>
    <row r="291" spans="1:2">
      <c r="A291" s="8">
        <v>43481.457094907404</v>
      </c>
      <c r="B291" s="2" t="s">
        <v>142</v>
      </c>
    </row>
    <row r="292" spans="1:2">
      <c r="A292" s="8">
        <v>43481.473055555558</v>
      </c>
      <c r="B292" s="2" t="s">
        <v>142</v>
      </c>
    </row>
    <row r="293" spans="1:2">
      <c r="A293" s="8">
        <v>43481.592870370368</v>
      </c>
      <c r="B293" s="2" t="s">
        <v>143</v>
      </c>
    </row>
    <row r="294" spans="1:2">
      <c r="A294" s="8">
        <v>43481.592893518522</v>
      </c>
      <c r="B294" s="2" t="s">
        <v>144</v>
      </c>
    </row>
    <row r="295" spans="1:2">
      <c r="A295" s="8">
        <v>43481.593240740738</v>
      </c>
      <c r="B295" s="2" t="s">
        <v>145</v>
      </c>
    </row>
    <row r="296" spans="1:2">
      <c r="A296" s="8">
        <v>43488.674710648149</v>
      </c>
      <c r="B296" s="2" t="s">
        <v>146</v>
      </c>
    </row>
    <row r="297" spans="1:2">
      <c r="A297" s="8">
        <v>43488.674745370372</v>
      </c>
      <c r="B297" s="2" t="s">
        <v>147</v>
      </c>
    </row>
    <row r="298" spans="1:2">
      <c r="A298" s="8">
        <v>43489.431539351855</v>
      </c>
      <c r="B298" s="2" t="s">
        <v>148</v>
      </c>
    </row>
    <row r="299" spans="1:2">
      <c r="A299" s="8">
        <v>43497.36445601852</v>
      </c>
      <c r="B299" s="2" t="s">
        <v>149</v>
      </c>
    </row>
    <row r="300" spans="1:2">
      <c r="A300" s="8">
        <v>43497.364479166667</v>
      </c>
      <c r="B300" s="2" t="s">
        <v>150</v>
      </c>
    </row>
    <row r="301" spans="1:2">
      <c r="A301" s="8">
        <v>43497.376238425924</v>
      </c>
      <c r="B301" s="2" t="s">
        <v>151</v>
      </c>
    </row>
    <row r="302" spans="1:2">
      <c r="A302" s="8">
        <v>43502.650659722225</v>
      </c>
      <c r="B302" s="2" t="s">
        <v>158</v>
      </c>
    </row>
    <row r="303" spans="1:2">
      <c r="A303" s="8">
        <v>43502.650706018518</v>
      </c>
      <c r="B303" s="2" t="s">
        <v>159</v>
      </c>
    </row>
    <row r="304" spans="1:2">
      <c r="A304" s="8">
        <v>43502.65116898148</v>
      </c>
      <c r="B304" s="2" t="s">
        <v>160</v>
      </c>
    </row>
    <row r="305" spans="1:2">
      <c r="A305" s="8">
        <v>43517.450011574074</v>
      </c>
      <c r="B305" s="2" t="s">
        <v>158</v>
      </c>
    </row>
    <row r="306" spans="1:2">
      <c r="A306" s="8">
        <v>43517.450057870374</v>
      </c>
      <c r="B306" s="2" t="s">
        <v>159</v>
      </c>
    </row>
    <row r="307" spans="1:2">
      <c r="A307" s="8">
        <v>43517.450173611112</v>
      </c>
      <c r="B307" s="2" t="s">
        <v>160</v>
      </c>
    </row>
    <row r="308" spans="1:2">
      <c r="A308" s="8">
        <v>43517.561493055553</v>
      </c>
      <c r="B308" s="2" t="s">
        <v>158</v>
      </c>
    </row>
    <row r="309" spans="1:2">
      <c r="A309" s="8">
        <v>43517.561539351853</v>
      </c>
      <c r="B309" s="2" t="s">
        <v>162</v>
      </c>
    </row>
    <row r="310" spans="1:2">
      <c r="A310" s="8">
        <v>43517.562511574077</v>
      </c>
      <c r="B310" s="2" t="s">
        <v>158</v>
      </c>
    </row>
    <row r="311" spans="1:2">
      <c r="A311" s="8">
        <v>43517.5625462963</v>
      </c>
      <c r="B311" s="2" t="s">
        <v>159</v>
      </c>
    </row>
    <row r="312" spans="1:2">
      <c r="A312" s="8">
        <v>43517.563379629632</v>
      </c>
      <c r="B312" s="2" t="s">
        <v>162</v>
      </c>
    </row>
    <row r="313" spans="1:2">
      <c r="A313" s="8">
        <v>43517.566631944443</v>
      </c>
      <c r="B313" s="2" t="s">
        <v>160</v>
      </c>
    </row>
    <row r="314" spans="1:2">
      <c r="A314" s="8">
        <v>43517.566712962966</v>
      </c>
      <c r="B314" s="2" t="s">
        <v>160</v>
      </c>
    </row>
    <row r="315" spans="1:2">
      <c r="A315" s="8">
        <v>43517.567106481481</v>
      </c>
      <c r="B315" s="2" t="s">
        <v>160</v>
      </c>
    </row>
    <row r="316" spans="1:2">
      <c r="A316" s="8">
        <v>43517.567858796298</v>
      </c>
      <c r="B316" s="2" t="s">
        <v>160</v>
      </c>
    </row>
    <row r="317" spans="1:2">
      <c r="A317" s="8">
        <v>43517.571446759262</v>
      </c>
      <c r="B317" s="2" t="s">
        <v>158</v>
      </c>
    </row>
    <row r="318" spans="1:2">
      <c r="A318" s="8">
        <v>43517.571458333332</v>
      </c>
      <c r="B318" s="2" t="s">
        <v>159</v>
      </c>
    </row>
    <row r="319" spans="1:2">
      <c r="A319" s="8">
        <v>43517.571574074071</v>
      </c>
      <c r="B319" s="2" t="s">
        <v>160</v>
      </c>
    </row>
    <row r="320" spans="1:2">
      <c r="A320" s="8">
        <v>43517.577349537038</v>
      </c>
      <c r="B320" s="2" t="s">
        <v>158</v>
      </c>
    </row>
    <row r="321" spans="1:2">
      <c r="A321" s="8">
        <v>43517.57739583333</v>
      </c>
      <c r="B321" s="2" t="s">
        <v>159</v>
      </c>
    </row>
    <row r="322" spans="1:2">
      <c r="A322" s="8">
        <v>43517.5778587963</v>
      </c>
      <c r="B322" s="2" t="s">
        <v>158</v>
      </c>
    </row>
    <row r="323" spans="1:2">
      <c r="A323" s="8">
        <v>43517.577870370369</v>
      </c>
      <c r="B323" s="2" t="s">
        <v>159</v>
      </c>
    </row>
    <row r="324" spans="1:2">
      <c r="A324" s="8">
        <v>43517.579444444447</v>
      </c>
      <c r="B324" s="2" t="s">
        <v>158</v>
      </c>
    </row>
    <row r="325" spans="1:2">
      <c r="A325" s="8">
        <v>43517.579456018517</v>
      </c>
      <c r="B325" s="2" t="s">
        <v>159</v>
      </c>
    </row>
    <row r="326" spans="1:2">
      <c r="A326" s="8">
        <v>43517.579826388886</v>
      </c>
      <c r="B326" s="2" t="s">
        <v>158</v>
      </c>
    </row>
    <row r="327" spans="1:2">
      <c r="A327" s="8">
        <v>43517.579837962963</v>
      </c>
      <c r="B327" s="2" t="s">
        <v>159</v>
      </c>
    </row>
    <row r="328" spans="1:2">
      <c r="A328" s="8">
        <v>43517.580023148148</v>
      </c>
      <c r="B328" s="2" t="s">
        <v>160</v>
      </c>
    </row>
    <row r="329" spans="1:2">
      <c r="A329" s="8">
        <v>43517.580914351849</v>
      </c>
      <c r="B329" s="2" t="s">
        <v>158</v>
      </c>
    </row>
    <row r="330" spans="1:2">
      <c r="A330" s="8">
        <v>43517.580925925926</v>
      </c>
      <c r="B330" s="2" t="s">
        <v>159</v>
      </c>
    </row>
    <row r="331" spans="1:2">
      <c r="A331" s="8">
        <v>43517.580972222226</v>
      </c>
      <c r="B331" s="2" t="s">
        <v>160</v>
      </c>
    </row>
    <row r="332" spans="1:2">
      <c r="A332" s="8">
        <v>43517.582638888889</v>
      </c>
      <c r="B332" s="2" t="s">
        <v>158</v>
      </c>
    </row>
    <row r="333" spans="1:2">
      <c r="A333" s="8">
        <v>43517.582650462966</v>
      </c>
      <c r="B333" s="2" t="s">
        <v>159</v>
      </c>
    </row>
    <row r="334" spans="1:2">
      <c r="A334" s="8">
        <v>43517.583090277774</v>
      </c>
      <c r="B334" s="2" t="s">
        <v>160</v>
      </c>
    </row>
    <row r="335" spans="1:2">
      <c r="A335" s="8">
        <v>43517.583657407406</v>
      </c>
      <c r="B335" s="2" t="s">
        <v>158</v>
      </c>
    </row>
    <row r="336" spans="1:2">
      <c r="A336" s="8">
        <v>43517.583680555559</v>
      </c>
      <c r="B336" s="2" t="s">
        <v>159</v>
      </c>
    </row>
    <row r="337" spans="1:2">
      <c r="A337" s="8">
        <v>43517.583796296298</v>
      </c>
      <c r="B337" s="2" t="s">
        <v>160</v>
      </c>
    </row>
    <row r="338" spans="1:2">
      <c r="A338" s="8">
        <v>43517.585034722222</v>
      </c>
      <c r="B338" s="2" t="s">
        <v>158</v>
      </c>
    </row>
    <row r="339" spans="1:2">
      <c r="A339" s="8">
        <v>43517.585046296299</v>
      </c>
      <c r="B339" s="2" t="s">
        <v>159</v>
      </c>
    </row>
    <row r="340" spans="1:2">
      <c r="A340" s="8">
        <v>43517.585115740738</v>
      </c>
      <c r="B340" s="2" t="s">
        <v>160</v>
      </c>
    </row>
    <row r="341" spans="1:2">
      <c r="A341" s="8">
        <v>43517.607881944445</v>
      </c>
      <c r="B341" s="2" t="s">
        <v>158</v>
      </c>
    </row>
    <row r="342" spans="1:2">
      <c r="A342" s="8">
        <v>43517.607916666668</v>
      </c>
      <c r="B342" s="2" t="s">
        <v>162</v>
      </c>
    </row>
    <row r="343" spans="1:2">
      <c r="A343" s="8">
        <v>43517.60800925926</v>
      </c>
      <c r="B343" s="2" t="s">
        <v>158</v>
      </c>
    </row>
    <row r="344" spans="1:2">
      <c r="A344" s="8">
        <v>43517.608020833337</v>
      </c>
      <c r="B344" s="2" t="s">
        <v>159</v>
      </c>
    </row>
    <row r="345" spans="1:2">
      <c r="A345" s="8">
        <v>43517.608101851853</v>
      </c>
      <c r="B345" s="2" t="s">
        <v>160</v>
      </c>
    </row>
    <row r="346" spans="1:2">
      <c r="A346" s="8">
        <v>43517.610682870371</v>
      </c>
      <c r="B346" s="2" t="s">
        <v>163</v>
      </c>
    </row>
    <row r="347" spans="1:2">
      <c r="A347" s="8">
        <v>43517.610763888886</v>
      </c>
      <c r="B347" s="2" t="s">
        <v>163</v>
      </c>
    </row>
    <row r="348" spans="1:2">
      <c r="A348" s="8">
        <v>43517.611134259256</v>
      </c>
      <c r="B348" s="2" t="s">
        <v>163</v>
      </c>
    </row>
    <row r="349" spans="1:2">
      <c r="A349" s="8">
        <v>43517.61146990741</v>
      </c>
      <c r="B349" s="2" t="s">
        <v>163</v>
      </c>
    </row>
    <row r="350" spans="1:2">
      <c r="A350" s="8">
        <v>43517.611770833333</v>
      </c>
      <c r="B350" s="2" t="s">
        <v>163</v>
      </c>
    </row>
    <row r="351" spans="1:2">
      <c r="A351" s="8">
        <v>43517.61178240741</v>
      </c>
      <c r="B351" s="2" t="s">
        <v>163</v>
      </c>
    </row>
    <row r="352" spans="1:2">
      <c r="A352" s="8">
        <v>43517.611793981479</v>
      </c>
      <c r="B352" s="2" t="s">
        <v>163</v>
      </c>
    </row>
    <row r="353" spans="1:2">
      <c r="A353" s="8">
        <v>43517.611886574072</v>
      </c>
      <c r="B353" s="2" t="s">
        <v>163</v>
      </c>
    </row>
    <row r="354" spans="1:2">
      <c r="A354" s="8">
        <v>43517.611898148149</v>
      </c>
      <c r="B354" s="2" t="s">
        <v>163</v>
      </c>
    </row>
    <row r="355" spans="1:2">
      <c r="A355" s="8">
        <v>43517.611909722225</v>
      </c>
      <c r="B355" s="2" t="s">
        <v>163</v>
      </c>
    </row>
    <row r="356" spans="1:2">
      <c r="A356" s="8">
        <v>43517.611921296295</v>
      </c>
      <c r="B356" s="2" t="s">
        <v>163</v>
      </c>
    </row>
    <row r="357" spans="1:2">
      <c r="A357" s="8">
        <v>43517.611921296295</v>
      </c>
      <c r="B357" s="2" t="s">
        <v>163</v>
      </c>
    </row>
    <row r="358" spans="1:2">
      <c r="A358" s="8">
        <v>43517.616493055553</v>
      </c>
      <c r="B358" s="2" t="s">
        <v>164</v>
      </c>
    </row>
    <row r="359" spans="1:2">
      <c r="A359" s="8">
        <v>43517.616516203707</v>
      </c>
      <c r="B359" s="2" t="s">
        <v>165</v>
      </c>
    </row>
    <row r="360" spans="1:2">
      <c r="A360" s="8">
        <v>43517.617175925923</v>
      </c>
      <c r="B360" s="2" t="s">
        <v>158</v>
      </c>
    </row>
    <row r="361" spans="1:2">
      <c r="A361" s="8">
        <v>43517.617210648146</v>
      </c>
      <c r="B361" s="2" t="s">
        <v>159</v>
      </c>
    </row>
    <row r="362" spans="1:2">
      <c r="A362" s="8">
        <v>43517.617465277777</v>
      </c>
      <c r="B362" s="2" t="s">
        <v>160</v>
      </c>
    </row>
    <row r="363" spans="1:2">
      <c r="A363" s="8">
        <v>43518.389780092592</v>
      </c>
      <c r="B363" s="2" t="s">
        <v>158</v>
      </c>
    </row>
    <row r="364" spans="1:2">
      <c r="A364" s="8">
        <v>43518.389791666668</v>
      </c>
      <c r="B364" s="2" t="s">
        <v>159</v>
      </c>
    </row>
    <row r="365" spans="1:2">
      <c r="A365" s="8">
        <v>43518.389930555553</v>
      </c>
      <c r="B365" s="2" t="s">
        <v>160</v>
      </c>
    </row>
    <row r="366" spans="1:2">
      <c r="A366" s="8">
        <v>43518.394074074073</v>
      </c>
      <c r="B366" s="2" t="s">
        <v>166</v>
      </c>
    </row>
    <row r="367" spans="1:2">
      <c r="A367" s="8">
        <v>43518.394131944442</v>
      </c>
      <c r="B367" s="2" t="s">
        <v>167</v>
      </c>
    </row>
    <row r="368" spans="1:2">
      <c r="A368" s="8">
        <v>43518.39503472222</v>
      </c>
      <c r="B368" s="2" t="s">
        <v>166</v>
      </c>
    </row>
    <row r="369" spans="1:2">
      <c r="A369" s="8">
        <v>43518.395046296297</v>
      </c>
      <c r="B369" s="2" t="s">
        <v>167</v>
      </c>
    </row>
    <row r="370" spans="1:2">
      <c r="A370" s="8">
        <v>43518.395069444443</v>
      </c>
      <c r="B370" s="2" t="s">
        <v>168</v>
      </c>
    </row>
    <row r="371" spans="1:2">
      <c r="A371" s="8">
        <v>43518.39675925926</v>
      </c>
      <c r="B371" s="2" t="s">
        <v>166</v>
      </c>
    </row>
    <row r="372" spans="1:2">
      <c r="A372" s="8">
        <v>43518.396770833337</v>
      </c>
      <c r="B372" s="2" t="s">
        <v>167</v>
      </c>
    </row>
    <row r="373" spans="1:2">
      <c r="A373" s="8">
        <v>43518.606956018521</v>
      </c>
      <c r="B373" s="2" t="s">
        <v>169</v>
      </c>
    </row>
    <row r="374" spans="1:2">
      <c r="A374" s="8">
        <v>43518.606979166667</v>
      </c>
      <c r="B374" s="2" t="s">
        <v>170</v>
      </c>
    </row>
    <row r="375" spans="1:2">
      <c r="A375" s="8">
        <v>43518.611805555556</v>
      </c>
      <c r="B375" s="2" t="s">
        <v>171</v>
      </c>
    </row>
    <row r="376" spans="1:2">
      <c r="A376" s="8">
        <v>43518.612083333333</v>
      </c>
      <c r="B376" s="2" t="s">
        <v>171</v>
      </c>
    </row>
    <row r="377" spans="1:2">
      <c r="A377" s="8">
        <v>43518.612824074073</v>
      </c>
      <c r="B377" s="2" t="s">
        <v>171</v>
      </c>
    </row>
    <row r="378" spans="1:2">
      <c r="A378" s="8">
        <v>43518.613043981481</v>
      </c>
      <c r="B378" s="2" t="s">
        <v>171</v>
      </c>
    </row>
    <row r="379" spans="1:2">
      <c r="A379" s="8">
        <v>43518.614282407405</v>
      </c>
      <c r="B379" s="2" t="s">
        <v>166</v>
      </c>
    </row>
    <row r="380" spans="1:2">
      <c r="A380" s="8">
        <v>43518.614317129628</v>
      </c>
      <c r="B380" s="2" t="s">
        <v>167</v>
      </c>
    </row>
    <row r="381" spans="1:2">
      <c r="A381" s="8">
        <v>43518.615949074076</v>
      </c>
      <c r="B381" s="2" t="s">
        <v>166</v>
      </c>
    </row>
    <row r="382" spans="1:2">
      <c r="A382" s="8">
        <v>43518.616215277776</v>
      </c>
      <c r="B382" s="2" t="s">
        <v>166</v>
      </c>
    </row>
    <row r="383" spans="1:2">
      <c r="A383" s="8">
        <v>43518.616249999999</v>
      </c>
      <c r="B383" s="2" t="s">
        <v>167</v>
      </c>
    </row>
    <row r="384" spans="1:2">
      <c r="A384" s="8">
        <v>43518.616469907407</v>
      </c>
      <c r="B384" s="2" t="s">
        <v>168</v>
      </c>
    </row>
    <row r="385" spans="1:2">
      <c r="A385" s="8">
        <v>43518.616516203707</v>
      </c>
      <c r="B385" s="2" t="s">
        <v>172</v>
      </c>
    </row>
    <row r="386" spans="1:2">
      <c r="A386" s="8">
        <v>43518.616805555554</v>
      </c>
      <c r="B386" s="2" t="s">
        <v>173</v>
      </c>
    </row>
    <row r="387" spans="1:2">
      <c r="A387" s="8">
        <v>43518.616840277777</v>
      </c>
      <c r="B387" s="2" t="s">
        <v>173</v>
      </c>
    </row>
    <row r="388" spans="1:2">
      <c r="A388" s="8">
        <v>43518.619062500002</v>
      </c>
      <c r="B388" s="2" t="s">
        <v>169</v>
      </c>
    </row>
    <row r="389" spans="1:2">
      <c r="A389" s="8">
        <v>43518.61922453704</v>
      </c>
      <c r="B389" s="2" t="s">
        <v>170</v>
      </c>
    </row>
    <row r="390" spans="1:2">
      <c r="A390" s="8">
        <v>43518.620312500003</v>
      </c>
      <c r="B390" s="2" t="s">
        <v>166</v>
      </c>
    </row>
    <row r="391" spans="1:2">
      <c r="A391" s="8">
        <v>43518.620347222219</v>
      </c>
      <c r="B391" s="2" t="s">
        <v>171</v>
      </c>
    </row>
    <row r="392" spans="1:2">
      <c r="A392" s="8">
        <v>43518.620509259257</v>
      </c>
      <c r="B392" s="2" t="s">
        <v>166</v>
      </c>
    </row>
    <row r="393" spans="1:2">
      <c r="A393" s="8">
        <v>43518.620520833334</v>
      </c>
      <c r="B393" s="2" t="s">
        <v>167</v>
      </c>
    </row>
    <row r="394" spans="1:2">
      <c r="A394" s="8">
        <v>43518.62059027778</v>
      </c>
      <c r="B394" s="2" t="s">
        <v>168</v>
      </c>
    </row>
    <row r="395" spans="1:2">
      <c r="A395" s="8">
        <v>43518.620625000003</v>
      </c>
      <c r="B395" s="2" t="s">
        <v>172</v>
      </c>
    </row>
    <row r="396" spans="1:2">
      <c r="A396" s="8">
        <v>43518.620694444442</v>
      </c>
      <c r="B396" s="2" t="s">
        <v>173</v>
      </c>
    </row>
    <row r="397" spans="1:2">
      <c r="A397" s="8">
        <v>43518.620740740742</v>
      </c>
      <c r="B397" s="2" t="s">
        <v>173</v>
      </c>
    </row>
    <row r="398" spans="1:2">
      <c r="A398" s="8">
        <v>43518.621932870374</v>
      </c>
      <c r="B398" s="2" t="s">
        <v>166</v>
      </c>
    </row>
    <row r="399" spans="1:2">
      <c r="A399" s="8">
        <v>43518.621967592589</v>
      </c>
      <c r="B399" s="2" t="s">
        <v>171</v>
      </c>
    </row>
    <row r="400" spans="1:2">
      <c r="A400" s="8">
        <v>43518.622071759259</v>
      </c>
      <c r="B400" s="2" t="s">
        <v>166</v>
      </c>
    </row>
    <row r="401" spans="1:2">
      <c r="A401" s="8">
        <v>43518.622094907405</v>
      </c>
      <c r="B401" s="2" t="s">
        <v>167</v>
      </c>
    </row>
    <row r="402" spans="1:2">
      <c r="A402" s="8">
        <v>43518.622152777774</v>
      </c>
      <c r="B402" s="2" t="s">
        <v>168</v>
      </c>
    </row>
    <row r="403" spans="1:2">
      <c r="A403" s="8">
        <v>43518.622175925928</v>
      </c>
      <c r="B403" s="2" t="s">
        <v>172</v>
      </c>
    </row>
    <row r="404" spans="1:2">
      <c r="A404" s="8">
        <v>43518.62226851852</v>
      </c>
      <c r="B404" s="2" t="s">
        <v>173</v>
      </c>
    </row>
    <row r="405" spans="1:2">
      <c r="A405" s="8">
        <v>43518.623101851852</v>
      </c>
      <c r="B405" s="2" t="s">
        <v>166</v>
      </c>
    </row>
    <row r="406" spans="1:2">
      <c r="A406" s="8">
        <v>43518.623148148145</v>
      </c>
      <c r="B406" s="2" t="s">
        <v>171</v>
      </c>
    </row>
    <row r="407" spans="1:2">
      <c r="A407" s="8">
        <v>43518.623368055552</v>
      </c>
      <c r="B407" s="2" t="s">
        <v>166</v>
      </c>
    </row>
    <row r="408" spans="1:2">
      <c r="A408" s="8">
        <v>43518.623715277776</v>
      </c>
      <c r="B408" s="2" t="s">
        <v>166</v>
      </c>
    </row>
    <row r="409" spans="1:2">
      <c r="A409" s="8">
        <v>43518.623738425929</v>
      </c>
      <c r="B409" s="2" t="s">
        <v>167</v>
      </c>
    </row>
    <row r="410" spans="1:2">
      <c r="A410" s="8">
        <v>43518.623923611114</v>
      </c>
      <c r="B410" s="2" t="s">
        <v>168</v>
      </c>
    </row>
    <row r="411" spans="1:2">
      <c r="A411" s="8">
        <v>43518.62395833333</v>
      </c>
      <c r="B411" s="2" t="s">
        <v>172</v>
      </c>
    </row>
    <row r="412" spans="1:2">
      <c r="A412" s="8">
        <v>43518.624097222222</v>
      </c>
      <c r="B412" s="2" t="s">
        <v>174</v>
      </c>
    </row>
    <row r="413" spans="1:2">
      <c r="A413" s="8">
        <v>43518.624155092592</v>
      </c>
      <c r="B413" s="2" t="s">
        <v>175</v>
      </c>
    </row>
    <row r="414" spans="1:2">
      <c r="A414" s="8">
        <v>43518.625300925924</v>
      </c>
      <c r="B414" s="2" t="s">
        <v>176</v>
      </c>
    </row>
    <row r="415" spans="1:2">
      <c r="A415" s="8">
        <v>43518.632951388892</v>
      </c>
      <c r="B415" s="2" t="s">
        <v>166</v>
      </c>
    </row>
    <row r="416" spans="1:2">
      <c r="A416" s="8">
        <v>43518.632962962962</v>
      </c>
      <c r="B416" s="2" t="s">
        <v>167</v>
      </c>
    </row>
    <row r="417" spans="1:2">
      <c r="A417" s="8">
        <v>43518.633125</v>
      </c>
      <c r="B417" s="2" t="s">
        <v>177</v>
      </c>
    </row>
    <row r="418" spans="1:2">
      <c r="A418" s="8">
        <v>43518.633171296293</v>
      </c>
      <c r="B418" s="2" t="s">
        <v>176</v>
      </c>
    </row>
    <row r="419" spans="1:2">
      <c r="A419" s="8">
        <v>43518.633333333331</v>
      </c>
      <c r="B419" s="2" t="s">
        <v>178</v>
      </c>
    </row>
    <row r="420" spans="1:2">
      <c r="A420" s="8">
        <v>43518.633356481485</v>
      </c>
      <c r="B420" s="2" t="s">
        <v>179</v>
      </c>
    </row>
    <row r="421" spans="1:2">
      <c r="A421" s="8">
        <v>43518.633425925924</v>
      </c>
      <c r="B421" s="2" t="s">
        <v>180</v>
      </c>
    </row>
    <row r="422" spans="1:2">
      <c r="A422" s="8">
        <v>43518.633472222224</v>
      </c>
      <c r="B422" s="2" t="s">
        <v>176</v>
      </c>
    </row>
    <row r="423" spans="1:2">
      <c r="A423" s="8">
        <v>43518.634004629632</v>
      </c>
      <c r="B423" s="2" t="s">
        <v>174</v>
      </c>
    </row>
    <row r="424" spans="1:2">
      <c r="A424" s="8">
        <v>43518.634027777778</v>
      </c>
      <c r="B424" s="2" t="s">
        <v>175</v>
      </c>
    </row>
    <row r="425" spans="1:2">
      <c r="A425" s="8">
        <v>43518.634166666663</v>
      </c>
      <c r="B425" s="2" t="s">
        <v>181</v>
      </c>
    </row>
    <row r="426" spans="1:2">
      <c r="A426" s="8">
        <v>43518.634189814817</v>
      </c>
      <c r="B426" s="2" t="s">
        <v>176</v>
      </c>
    </row>
    <row r="427" spans="1:2">
      <c r="A427" s="8">
        <v>43532.344189814816</v>
      </c>
      <c r="B427" s="2" t="s">
        <v>182</v>
      </c>
    </row>
    <row r="428" spans="1:2">
      <c r="A428" s="8">
        <v>43532.344224537039</v>
      </c>
      <c r="B428" s="2" t="s">
        <v>183</v>
      </c>
    </row>
    <row r="429" spans="1:2">
      <c r="A429" s="8">
        <v>43532.344386574077</v>
      </c>
      <c r="B429" s="2" t="s">
        <v>184</v>
      </c>
    </row>
    <row r="430" spans="1:2">
      <c r="A430" s="8">
        <v>43532.346666666665</v>
      </c>
      <c r="B430" s="2" t="s">
        <v>176</v>
      </c>
    </row>
    <row r="431" spans="1:2">
      <c r="A431" s="8">
        <v>43532.347326388888</v>
      </c>
      <c r="B431" s="2" t="s">
        <v>176</v>
      </c>
    </row>
    <row r="432" spans="1:2">
      <c r="A432" s="8">
        <v>43532.347696759258</v>
      </c>
      <c r="B432" s="2" t="s">
        <v>176</v>
      </c>
    </row>
    <row r="433" spans="1:2">
      <c r="A433" s="8">
        <v>43532.347777777781</v>
      </c>
      <c r="B433" s="2" t="s">
        <v>176</v>
      </c>
    </row>
    <row r="434" spans="1:2">
      <c r="A434" s="8">
        <v>43532.348182870373</v>
      </c>
      <c r="B434" s="2" t="s">
        <v>176</v>
      </c>
    </row>
    <row r="435" spans="1:2">
      <c r="A435" s="8">
        <v>43532.349305555559</v>
      </c>
      <c r="B435" s="2" t="s">
        <v>176</v>
      </c>
    </row>
    <row r="436" spans="1:2">
      <c r="A436" s="8">
        <v>43532.351990740739</v>
      </c>
      <c r="B436" s="2" t="s">
        <v>166</v>
      </c>
    </row>
    <row r="437" spans="1:2">
      <c r="A437" s="8">
        <v>43532.352025462962</v>
      </c>
      <c r="B437" s="2" t="s">
        <v>167</v>
      </c>
    </row>
    <row r="438" spans="1:2">
      <c r="A438" s="8">
        <v>43532.352476851855</v>
      </c>
      <c r="B438" s="2" t="s">
        <v>177</v>
      </c>
    </row>
    <row r="439" spans="1:2">
      <c r="A439" s="8">
        <v>43532.352546296293</v>
      </c>
      <c r="B439" s="2" t="s">
        <v>176</v>
      </c>
    </row>
    <row r="440" spans="1:2">
      <c r="A440" s="8">
        <v>43532.352581018517</v>
      </c>
      <c r="B440" s="2" t="s">
        <v>176</v>
      </c>
    </row>
    <row r="441" spans="1:2">
      <c r="A441" s="8">
        <v>43532.352592592593</v>
      </c>
      <c r="B441" s="2" t="s">
        <v>176</v>
      </c>
    </row>
    <row r="442" spans="1:2">
      <c r="A442" s="8">
        <v>43532.352951388886</v>
      </c>
      <c r="B442" s="2" t="s">
        <v>176</v>
      </c>
    </row>
    <row r="443" spans="1:2">
      <c r="A443" s="8">
        <v>43532.353159722225</v>
      </c>
      <c r="B443" s="2" t="s">
        <v>176</v>
      </c>
    </row>
    <row r="444" spans="1:2">
      <c r="A444" s="8">
        <v>43532.35328703704</v>
      </c>
      <c r="B444" s="2" t="s">
        <v>176</v>
      </c>
    </row>
    <row r="445" spans="1:2">
      <c r="A445" s="8">
        <v>43532.353437500002</v>
      </c>
      <c r="B445" s="2" t="s">
        <v>176</v>
      </c>
    </row>
    <row r="446" spans="1:2">
      <c r="A446" s="8">
        <v>43532.353703703702</v>
      </c>
      <c r="B446" s="2" t="s">
        <v>176</v>
      </c>
    </row>
    <row r="447" spans="1:2">
      <c r="A447" s="8">
        <v>43532.353831018518</v>
      </c>
      <c r="B447" s="2" t="s">
        <v>176</v>
      </c>
    </row>
    <row r="448" spans="1:2">
      <c r="A448" s="8">
        <v>43532.353842592594</v>
      </c>
      <c r="B448" s="2" t="s">
        <v>176</v>
      </c>
    </row>
    <row r="449" spans="1:2">
      <c r="A449" s="8">
        <v>43532.353900462964</v>
      </c>
      <c r="B449" s="2" t="s">
        <v>176</v>
      </c>
    </row>
    <row r="450" spans="1:2">
      <c r="A450" s="8">
        <v>43532.353912037041</v>
      </c>
      <c r="B450" s="2" t="s">
        <v>176</v>
      </c>
    </row>
    <row r="451" spans="1:2">
      <c r="A451" s="8">
        <v>43532.353946759256</v>
      </c>
      <c r="B451" s="2" t="s">
        <v>176</v>
      </c>
    </row>
    <row r="452" spans="1:2">
      <c r="A452" s="8">
        <v>43532.354016203702</v>
      </c>
      <c r="B452" s="2" t="s">
        <v>176</v>
      </c>
    </row>
    <row r="453" spans="1:2">
      <c r="A453" s="8">
        <v>43532.354050925926</v>
      </c>
      <c r="B453" s="2" t="s">
        <v>176</v>
      </c>
    </row>
    <row r="454" spans="1:2">
      <c r="A454" s="8">
        <v>43532.354872685188</v>
      </c>
      <c r="B454" s="2" t="s">
        <v>174</v>
      </c>
    </row>
    <row r="455" spans="1:2">
      <c r="A455" s="8">
        <v>43532.354895833334</v>
      </c>
      <c r="B455" s="2" t="s">
        <v>175</v>
      </c>
    </row>
    <row r="456" spans="1:2">
      <c r="A456" s="8">
        <v>43532.355104166665</v>
      </c>
      <c r="B456" s="2" t="s">
        <v>181</v>
      </c>
    </row>
    <row r="457" spans="1:2">
      <c r="A457" s="8">
        <v>43532.355127314811</v>
      </c>
      <c r="B457" s="2" t="s">
        <v>176</v>
      </c>
    </row>
    <row r="458" spans="1:2">
      <c r="A458" s="8">
        <v>43532.355347222219</v>
      </c>
      <c r="B458" s="2" t="s">
        <v>178</v>
      </c>
    </row>
    <row r="459" spans="1:2">
      <c r="A459" s="8">
        <v>43532.355370370373</v>
      </c>
      <c r="B459" s="2" t="s">
        <v>179</v>
      </c>
    </row>
    <row r="460" spans="1:2">
      <c r="A460" s="8">
        <v>43532.355671296296</v>
      </c>
      <c r="B460" s="2" t="s">
        <v>180</v>
      </c>
    </row>
    <row r="461" spans="1:2">
      <c r="A461" s="8">
        <v>43532.355694444443</v>
      </c>
      <c r="B461" s="2" t="s">
        <v>176</v>
      </c>
    </row>
    <row r="462" spans="1:2">
      <c r="A462" s="8">
        <v>43532.357129629629</v>
      </c>
      <c r="B462" s="2" t="s">
        <v>166</v>
      </c>
    </row>
    <row r="463" spans="1:2">
      <c r="A463" s="8">
        <v>43532.357141203705</v>
      </c>
      <c r="B463" s="2" t="s">
        <v>167</v>
      </c>
    </row>
    <row r="464" spans="1:2">
      <c r="A464" s="8">
        <v>43532.357245370367</v>
      </c>
      <c r="B464" s="2" t="s">
        <v>177</v>
      </c>
    </row>
    <row r="465" spans="1:2">
      <c r="A465" s="8">
        <v>43532.35728009259</v>
      </c>
      <c r="B465" s="2" t="s">
        <v>176</v>
      </c>
    </row>
    <row r="466" spans="1:2">
      <c r="A466" s="8">
        <v>43532.357303240744</v>
      </c>
      <c r="B466" s="2" t="s">
        <v>172</v>
      </c>
    </row>
    <row r="467" spans="1:2">
      <c r="A467" s="8">
        <v>43532.357708333337</v>
      </c>
      <c r="B467" s="2" t="s">
        <v>174</v>
      </c>
    </row>
    <row r="468" spans="1:2">
      <c r="A468" s="8">
        <v>43532.357743055552</v>
      </c>
      <c r="B468" s="2" t="s">
        <v>175</v>
      </c>
    </row>
    <row r="469" spans="1:2">
      <c r="A469" s="8">
        <v>43532.388657407406</v>
      </c>
      <c r="B469" s="2" t="s">
        <v>176</v>
      </c>
    </row>
    <row r="470" spans="1:2">
      <c r="A470" s="8">
        <v>43532.392256944448</v>
      </c>
      <c r="B470" s="2" t="s">
        <v>392</v>
      </c>
    </row>
    <row r="471" spans="1:2">
      <c r="A471" s="8">
        <v>43532.39230324074</v>
      </c>
      <c r="B471" s="2" t="s">
        <v>393</v>
      </c>
    </row>
    <row r="472" spans="1:2">
      <c r="A472" s="8">
        <v>43532.396724537037</v>
      </c>
      <c r="B472" s="2" t="s">
        <v>394</v>
      </c>
    </row>
    <row r="473" spans="1:2">
      <c r="A473" s="8">
        <v>43532.39675925926</v>
      </c>
      <c r="B473" s="2" t="s">
        <v>176</v>
      </c>
    </row>
    <row r="474" spans="1:2">
      <c r="A474" s="8">
        <v>43532.398946759262</v>
      </c>
      <c r="B474" s="2" t="s">
        <v>135</v>
      </c>
    </row>
    <row r="475" spans="1:2">
      <c r="A475" s="8">
        <v>43532.398958333331</v>
      </c>
      <c r="B475" s="2" t="s">
        <v>136</v>
      </c>
    </row>
    <row r="476" spans="1:2">
      <c r="A476" s="8">
        <v>43532.399780092594</v>
      </c>
      <c r="B476" s="2" t="s">
        <v>396</v>
      </c>
    </row>
    <row r="477" spans="1:2">
      <c r="A477" s="8">
        <v>43532.399814814817</v>
      </c>
      <c r="B477" s="2" t="s">
        <v>176</v>
      </c>
    </row>
    <row r="478" spans="1:2">
      <c r="A478" s="8">
        <v>43532.400462962964</v>
      </c>
      <c r="B478" s="2" t="s">
        <v>397</v>
      </c>
    </row>
    <row r="479" spans="1:2">
      <c r="A479" s="8">
        <v>43532.40048611111</v>
      </c>
      <c r="B479" s="2" t="s">
        <v>398</v>
      </c>
    </row>
    <row r="480" spans="1:2">
      <c r="A480" s="8">
        <v>43532.408495370371</v>
      </c>
      <c r="B480" s="2" t="s">
        <v>399</v>
      </c>
    </row>
    <row r="481" spans="1:2">
      <c r="A481" s="8">
        <v>43532.408541666664</v>
      </c>
      <c r="B481" s="2" t="s">
        <v>400</v>
      </c>
    </row>
    <row r="482" spans="1:2">
      <c r="A482" s="8">
        <v>43532.408854166664</v>
      </c>
      <c r="B482" s="2" t="s">
        <v>399</v>
      </c>
    </row>
    <row r="483" spans="1:2">
      <c r="A483" s="8">
        <v>43532.408877314818</v>
      </c>
      <c r="B483" s="2" t="s">
        <v>136</v>
      </c>
    </row>
    <row r="484" spans="1:2">
      <c r="A484" s="8">
        <v>43532.456238425926</v>
      </c>
      <c r="B484" s="2" t="s">
        <v>401</v>
      </c>
    </row>
    <row r="485" spans="1:2">
      <c r="A485" s="8">
        <v>43532.456250000003</v>
      </c>
      <c r="B485" s="2" t="s">
        <v>393</v>
      </c>
    </row>
    <row r="486" spans="1:2">
      <c r="A486" s="8">
        <v>43532.456620370373</v>
      </c>
      <c r="B486" s="2" t="s">
        <v>394</v>
      </c>
    </row>
    <row r="487" spans="1:2">
      <c r="A487" s="8">
        <v>43532.456678240742</v>
      </c>
      <c r="B487" s="2" t="s">
        <v>402</v>
      </c>
    </row>
    <row r="488" spans="1:2">
      <c r="A488" s="8">
        <v>43532.456886574073</v>
      </c>
      <c r="B488" s="2" t="s">
        <v>403</v>
      </c>
    </row>
    <row r="489" spans="1:2">
      <c r="A489" s="8">
        <v>43532.456932870373</v>
      </c>
      <c r="B489" s="2" t="s">
        <v>404</v>
      </c>
    </row>
    <row r="490" spans="1:2">
      <c r="A490" s="8">
        <v>43532.458124999997</v>
      </c>
      <c r="B490" s="2" t="s">
        <v>405</v>
      </c>
    </row>
    <row r="491" spans="1:2">
      <c r="A491" s="8">
        <v>43532.458194444444</v>
      </c>
      <c r="B491" s="2" t="s">
        <v>406</v>
      </c>
    </row>
    <row r="492" spans="1:2">
      <c r="A492" s="8">
        <v>43532.459016203706</v>
      </c>
      <c r="B492" s="2" t="s">
        <v>407</v>
      </c>
    </row>
    <row r="493" spans="1:2">
      <c r="A493" s="8">
        <v>43532.459027777775</v>
      </c>
      <c r="B493" s="2" t="s">
        <v>408</v>
      </c>
    </row>
    <row r="494" spans="1:2">
      <c r="A494" s="8">
        <v>43532.459351851852</v>
      </c>
      <c r="B494" s="2" t="s">
        <v>409</v>
      </c>
    </row>
    <row r="495" spans="1:2">
      <c r="A495" s="8">
        <v>43532.459374999999</v>
      </c>
      <c r="B495" s="2" t="s">
        <v>410</v>
      </c>
    </row>
    <row r="496" spans="1:2">
      <c r="A496" s="8">
        <v>43532.459537037037</v>
      </c>
      <c r="B496" s="2" t="s">
        <v>411</v>
      </c>
    </row>
    <row r="497" spans="1:2">
      <c r="A497" s="8">
        <v>43532.459560185183</v>
      </c>
      <c r="B497" s="2" t="s">
        <v>412</v>
      </c>
    </row>
    <row r="498" spans="1:2">
      <c r="A498" s="8">
        <v>43532.461840277778</v>
      </c>
      <c r="B498" s="2" t="s">
        <v>402</v>
      </c>
    </row>
    <row r="499" spans="1:2">
      <c r="A499" s="8">
        <v>43532.462106481478</v>
      </c>
      <c r="B499" s="2" t="s">
        <v>402</v>
      </c>
    </row>
    <row r="500" spans="1:2">
      <c r="A500" s="8">
        <v>43532.462141203701</v>
      </c>
      <c r="B500" s="2" t="s">
        <v>402</v>
      </c>
    </row>
    <row r="501" spans="1:2">
      <c r="A501" s="8">
        <v>43532.462268518517</v>
      </c>
      <c r="B501" s="2" t="s">
        <v>413</v>
      </c>
    </row>
    <row r="502" spans="1:2">
      <c r="A502" s="8">
        <v>43532.462280092594</v>
      </c>
      <c r="B502" s="2" t="s">
        <v>414</v>
      </c>
    </row>
    <row r="503" spans="1:2">
      <c r="A503" s="8">
        <v>43532.46261574074</v>
      </c>
      <c r="B503" s="2" t="s">
        <v>415</v>
      </c>
    </row>
    <row r="504" spans="1:2">
      <c r="A504" s="8">
        <v>43532.462627314817</v>
      </c>
      <c r="B504" s="2" t="s">
        <v>402</v>
      </c>
    </row>
    <row r="505" spans="1:2">
      <c r="A505" s="8">
        <v>43532.46298611111</v>
      </c>
      <c r="B505" s="2" t="s">
        <v>402</v>
      </c>
    </row>
    <row r="506" spans="1:2">
      <c r="A506" s="8">
        <v>43532.463113425925</v>
      </c>
      <c r="B506" s="2" t="s">
        <v>416</v>
      </c>
    </row>
    <row r="507" spans="1:2">
      <c r="A507" s="8">
        <v>43532.463125000002</v>
      </c>
      <c r="B507" s="2" t="s">
        <v>417</v>
      </c>
    </row>
    <row r="508" spans="1:2">
      <c r="A508" s="8">
        <v>43532.464803240742</v>
      </c>
      <c r="B508" s="2" t="s">
        <v>418</v>
      </c>
    </row>
    <row r="509" spans="1:2">
      <c r="A509" s="8">
        <v>43532.464814814812</v>
      </c>
      <c r="B509" s="2" t="s">
        <v>419</v>
      </c>
    </row>
    <row r="510" spans="1:2">
      <c r="A510" s="8">
        <v>43532.464918981481</v>
      </c>
      <c r="B510" s="2" t="s">
        <v>402</v>
      </c>
    </row>
    <row r="511" spans="1:2">
      <c r="A511" s="8">
        <v>43532.464988425927</v>
      </c>
      <c r="B511" s="2" t="s">
        <v>420</v>
      </c>
    </row>
    <row r="512" spans="1:2">
      <c r="A512" s="8">
        <v>43532.465011574073</v>
      </c>
      <c r="B512" s="2" t="s">
        <v>421</v>
      </c>
    </row>
    <row r="513" spans="1:2">
      <c r="A513" s="8">
        <v>43532.465312499997</v>
      </c>
      <c r="B513" s="2" t="s">
        <v>422</v>
      </c>
    </row>
    <row r="514" spans="1:2">
      <c r="A514" s="8">
        <v>43532.465358796297</v>
      </c>
      <c r="B514" s="2" t="s">
        <v>423</v>
      </c>
    </row>
    <row r="515" spans="1:2">
      <c r="A515" s="8">
        <v>43532.465381944443</v>
      </c>
      <c r="B515" s="2" t="s">
        <v>424</v>
      </c>
    </row>
    <row r="516" spans="1:2">
      <c r="A516" s="8">
        <v>43532.466574074075</v>
      </c>
      <c r="B516" s="2" t="s">
        <v>402</v>
      </c>
    </row>
    <row r="517" spans="1:2">
      <c r="A517" s="8">
        <v>43532.466666666667</v>
      </c>
      <c r="B517" s="2" t="s">
        <v>425</v>
      </c>
    </row>
    <row r="518" spans="1:2">
      <c r="A518" s="8">
        <v>43532.466678240744</v>
      </c>
      <c r="B518" s="2" t="s">
        <v>426</v>
      </c>
    </row>
    <row r="519" spans="1:2">
      <c r="A519" s="8">
        <v>43532.466898148145</v>
      </c>
      <c r="B519" s="2" t="s">
        <v>427</v>
      </c>
    </row>
    <row r="520" spans="1:2">
      <c r="A520" s="8">
        <v>43532.466932870368</v>
      </c>
      <c r="B520" s="2" t="s">
        <v>402</v>
      </c>
    </row>
    <row r="521" spans="1:2">
      <c r="A521" s="8">
        <v>43532.466944444444</v>
      </c>
      <c r="B521" s="2" t="s">
        <v>410</v>
      </c>
    </row>
    <row r="522" spans="1:2">
      <c r="A522" s="8">
        <v>43532.467002314814</v>
      </c>
      <c r="B522" s="2" t="s">
        <v>428</v>
      </c>
    </row>
    <row r="523" spans="1:2">
      <c r="A523" s="8">
        <v>43532.467013888891</v>
      </c>
      <c r="B523" s="2" t="s">
        <v>429</v>
      </c>
    </row>
    <row r="524" spans="1:2">
      <c r="A524" s="8">
        <v>43532.468124999999</v>
      </c>
      <c r="B524" s="2" t="s">
        <v>430</v>
      </c>
    </row>
    <row r="525" spans="1:2">
      <c r="A525" s="8">
        <v>43532.468136574076</v>
      </c>
      <c r="B525" s="2" t="s">
        <v>431</v>
      </c>
    </row>
    <row r="526" spans="1:2">
      <c r="A526" s="8">
        <v>43532.4684375</v>
      </c>
      <c r="B526" s="2" t="s">
        <v>432</v>
      </c>
    </row>
    <row r="527" spans="1:2">
      <c r="A527" s="8">
        <v>43532.468472222223</v>
      </c>
      <c r="B527" s="2" t="s">
        <v>402</v>
      </c>
    </row>
    <row r="528" spans="1:2">
      <c r="A528" s="8">
        <v>43532.468495370369</v>
      </c>
      <c r="B528" s="2" t="s">
        <v>410</v>
      </c>
    </row>
    <row r="529" spans="1:2">
      <c r="A529" s="8">
        <v>43532.468541666669</v>
      </c>
      <c r="B529" s="2" t="s">
        <v>433</v>
      </c>
    </row>
    <row r="530" spans="1:2">
      <c r="A530" s="8">
        <v>43532.468553240738</v>
      </c>
      <c r="B530" s="2" t="s">
        <v>434</v>
      </c>
    </row>
    <row r="531" spans="1:2">
      <c r="A531" s="8">
        <v>43532.470057870371</v>
      </c>
      <c r="B531" s="2" t="s">
        <v>435</v>
      </c>
    </row>
    <row r="532" spans="1:2">
      <c r="A532" s="8">
        <v>43532.470069444447</v>
      </c>
      <c r="B532" s="2" t="s">
        <v>436</v>
      </c>
    </row>
    <row r="533" spans="1:2">
      <c r="A533" s="8">
        <v>43532.470138888886</v>
      </c>
      <c r="B533" s="2" t="s">
        <v>437</v>
      </c>
    </row>
    <row r="534" spans="1:2">
      <c r="A534" s="8">
        <v>43532.470173611109</v>
      </c>
      <c r="B534" s="2" t="s">
        <v>402</v>
      </c>
    </row>
    <row r="535" spans="1:2">
      <c r="A535" s="8">
        <v>43532.470196759263</v>
      </c>
      <c r="B535" s="2" t="s">
        <v>410</v>
      </c>
    </row>
    <row r="536" spans="1:2">
      <c r="A536" s="8">
        <v>43532.470243055555</v>
      </c>
      <c r="B536" s="2" t="s">
        <v>438</v>
      </c>
    </row>
    <row r="537" spans="1:2">
      <c r="A537" s="8">
        <v>43532.470254629632</v>
      </c>
      <c r="B537" s="2" t="s">
        <v>439</v>
      </c>
    </row>
    <row r="538" spans="1:2">
      <c r="A538" s="8">
        <v>43532.471053240741</v>
      </c>
      <c r="B538" s="2" t="s">
        <v>440</v>
      </c>
    </row>
    <row r="539" spans="1:2">
      <c r="A539" s="8">
        <v>43532.471064814818</v>
      </c>
      <c r="B539" s="2" t="s">
        <v>441</v>
      </c>
    </row>
    <row r="540" spans="1:2">
      <c r="A540" s="8">
        <v>43532.47111111111</v>
      </c>
      <c r="B540" s="2" t="s">
        <v>442</v>
      </c>
    </row>
    <row r="541" spans="1:2">
      <c r="A541" s="8">
        <v>43532.471145833333</v>
      </c>
      <c r="B541" s="2" t="s">
        <v>402</v>
      </c>
    </row>
    <row r="542" spans="1:2">
      <c r="A542" s="8">
        <v>43532.471203703702</v>
      </c>
      <c r="B542" s="2" t="s">
        <v>410</v>
      </c>
    </row>
    <row r="543" spans="1:2">
      <c r="A543" s="8">
        <v>43532.471226851849</v>
      </c>
      <c r="B543" s="2" t="s">
        <v>443</v>
      </c>
    </row>
    <row r="544" spans="1:2">
      <c r="A544" s="8">
        <v>43532.471238425926</v>
      </c>
      <c r="B544" s="2" t="s">
        <v>444</v>
      </c>
    </row>
    <row r="545" spans="1:2">
      <c r="A545" s="8">
        <v>43532.473645833335</v>
      </c>
      <c r="B545" s="2" t="s">
        <v>402</v>
      </c>
    </row>
    <row r="546" spans="1:2">
      <c r="A546" s="8">
        <v>43532.476886574077</v>
      </c>
      <c r="B546" s="2" t="s">
        <v>445</v>
      </c>
    </row>
    <row r="547" spans="1:2">
      <c r="A547" s="8">
        <v>43532.476898148147</v>
      </c>
      <c r="B547" s="2" t="s">
        <v>446</v>
      </c>
    </row>
    <row r="548" spans="1:2">
      <c r="A548" s="8">
        <v>43532.476956018516</v>
      </c>
      <c r="B548" s="2" t="s">
        <v>447</v>
      </c>
    </row>
    <row r="549" spans="1:2">
      <c r="A549" s="8">
        <v>43532.477013888885</v>
      </c>
      <c r="B549" s="2" t="s">
        <v>448</v>
      </c>
    </row>
    <row r="550" spans="1:2">
      <c r="A550" s="8">
        <v>43532.477025462962</v>
      </c>
      <c r="B550" s="2" t="s">
        <v>449</v>
      </c>
    </row>
    <row r="551" spans="1:2">
      <c r="A551" s="8">
        <v>43532.477268518516</v>
      </c>
      <c r="B551" s="2" t="s">
        <v>450</v>
      </c>
    </row>
    <row r="552" spans="1:2">
      <c r="A552" s="8">
        <v>43532.477303240739</v>
      </c>
      <c r="B552" s="2" t="s">
        <v>402</v>
      </c>
    </row>
    <row r="553" spans="1:2">
      <c r="A553" s="8">
        <v>43532.480000000003</v>
      </c>
      <c r="B553" s="2" t="s">
        <v>402</v>
      </c>
    </row>
    <row r="554" spans="1:2">
      <c r="A554" s="8">
        <v>43532.480104166665</v>
      </c>
      <c r="B554" s="2" t="s">
        <v>451</v>
      </c>
    </row>
    <row r="555" spans="1:2">
      <c r="A555" s="8">
        <v>43532.480127314811</v>
      </c>
      <c r="B555" s="2" t="s">
        <v>452</v>
      </c>
    </row>
    <row r="556" spans="1:2">
      <c r="A556" s="8">
        <v>43532.480902777781</v>
      </c>
      <c r="B556" s="2" t="s">
        <v>453</v>
      </c>
    </row>
    <row r="557" spans="1:2">
      <c r="A557" s="8">
        <v>43532.480949074074</v>
      </c>
      <c r="B557" s="2" t="s">
        <v>402</v>
      </c>
    </row>
    <row r="558" spans="1:2">
      <c r="A558" s="8">
        <v>43532.481782407405</v>
      </c>
      <c r="B558" s="2" t="s">
        <v>401</v>
      </c>
    </row>
    <row r="559" spans="1:2">
      <c r="A559" s="8">
        <v>43532.481805555559</v>
      </c>
      <c r="B559" s="2" t="s">
        <v>454</v>
      </c>
    </row>
    <row r="560" spans="1:2">
      <c r="A560" s="8">
        <v>43532.482986111114</v>
      </c>
      <c r="B560" s="2" t="s">
        <v>401</v>
      </c>
    </row>
    <row r="561" spans="1:2">
      <c r="A561" s="8">
        <v>43532.48300925926</v>
      </c>
      <c r="B561" s="2" t="s">
        <v>393</v>
      </c>
    </row>
    <row r="562" spans="1:2">
      <c r="A562" s="8">
        <v>43532.483506944445</v>
      </c>
      <c r="B562" s="2" t="s">
        <v>394</v>
      </c>
    </row>
    <row r="563" spans="1:2">
      <c r="A563" s="8">
        <v>43532.483518518522</v>
      </c>
      <c r="B563" s="2" t="s">
        <v>402</v>
      </c>
    </row>
    <row r="564" spans="1:2">
      <c r="A564" s="8">
        <v>43532.483634259261</v>
      </c>
      <c r="B564" s="2" t="s">
        <v>410</v>
      </c>
    </row>
    <row r="565" spans="1:2">
      <c r="A565" s="8">
        <v>43532.48369212963</v>
      </c>
      <c r="B565" s="2" t="s">
        <v>403</v>
      </c>
    </row>
    <row r="566" spans="1:2">
      <c r="A566" s="8">
        <v>43532.483726851853</v>
      </c>
      <c r="B566" s="2" t="s">
        <v>404</v>
      </c>
    </row>
    <row r="567" spans="1:2">
      <c r="A567" s="8">
        <v>43532.491539351853</v>
      </c>
      <c r="B567" s="2" t="s">
        <v>401</v>
      </c>
    </row>
    <row r="568" spans="1:2">
      <c r="A568" s="8">
        <v>43532.491562499999</v>
      </c>
      <c r="B568" s="2" t="s">
        <v>454</v>
      </c>
    </row>
    <row r="569" spans="1:2">
      <c r="A569" s="8">
        <v>43532.491701388892</v>
      </c>
      <c r="B569" s="2" t="s">
        <v>401</v>
      </c>
    </row>
    <row r="570" spans="1:2">
      <c r="A570" s="8">
        <v>43532.491712962961</v>
      </c>
      <c r="B570" s="2" t="s">
        <v>393</v>
      </c>
    </row>
    <row r="571" spans="1:2">
      <c r="A571" s="8">
        <v>43532.491944444446</v>
      </c>
      <c r="B571" s="2" t="s">
        <v>394</v>
      </c>
    </row>
    <row r="572" spans="1:2">
      <c r="A572" s="8">
        <v>43532.492638888885</v>
      </c>
      <c r="B572" s="2" t="s">
        <v>402</v>
      </c>
    </row>
    <row r="573" spans="1:2">
      <c r="A573" s="8">
        <v>43532.493402777778</v>
      </c>
      <c r="B573" s="2" t="s">
        <v>402</v>
      </c>
    </row>
    <row r="574" spans="1:2">
      <c r="A574" s="8">
        <v>43532.493518518517</v>
      </c>
      <c r="B574" s="2" t="s">
        <v>402</v>
      </c>
    </row>
    <row r="575" spans="1:2">
      <c r="A575" s="8">
        <v>43532.493773148148</v>
      </c>
      <c r="B575" s="2" t="s">
        <v>407</v>
      </c>
    </row>
    <row r="576" spans="1:2">
      <c r="A576" s="8">
        <v>43532.493784722225</v>
      </c>
      <c r="B576" s="2" t="s">
        <v>408</v>
      </c>
    </row>
    <row r="577" spans="1:2">
      <c r="A577" s="8">
        <v>43532.493923611109</v>
      </c>
      <c r="B577" s="2" t="s">
        <v>409</v>
      </c>
    </row>
    <row r="578" spans="1:2">
      <c r="A578" s="8">
        <v>43532.494027777779</v>
      </c>
      <c r="B578" s="2" t="s">
        <v>402</v>
      </c>
    </row>
    <row r="579" spans="1:2">
      <c r="A579" s="8">
        <v>43532.494988425926</v>
      </c>
      <c r="B579" s="2" t="s">
        <v>402</v>
      </c>
    </row>
    <row r="580" spans="1:2">
      <c r="A580" s="8">
        <v>43532.496157407404</v>
      </c>
      <c r="B580" s="2" t="s">
        <v>402</v>
      </c>
    </row>
    <row r="581" spans="1:2">
      <c r="A581" s="8">
        <v>43532.496261574073</v>
      </c>
      <c r="B581" s="2" t="s">
        <v>402</v>
      </c>
    </row>
    <row r="582" spans="1:2">
      <c r="A582" s="8">
        <v>43532.496932870374</v>
      </c>
      <c r="B582" s="2" t="s">
        <v>455</v>
      </c>
    </row>
    <row r="583" spans="1:2">
      <c r="A583" s="8">
        <v>43532.497488425928</v>
      </c>
      <c r="B583" s="2" t="s">
        <v>413</v>
      </c>
    </row>
    <row r="584" spans="1:2">
      <c r="A584" s="8">
        <v>43532.497499999998</v>
      </c>
      <c r="B584" s="2" t="s">
        <v>414</v>
      </c>
    </row>
    <row r="585" spans="1:2">
      <c r="A585" s="8">
        <v>43532.498067129629</v>
      </c>
      <c r="B585" s="2" t="s">
        <v>402</v>
      </c>
    </row>
    <row r="586" spans="1:2">
      <c r="A586" s="8">
        <v>43532.498668981483</v>
      </c>
      <c r="B586" s="2" t="s">
        <v>420</v>
      </c>
    </row>
    <row r="587" spans="1:2">
      <c r="A587" s="8">
        <v>43532.498680555553</v>
      </c>
      <c r="B587" s="2" t="s">
        <v>421</v>
      </c>
    </row>
    <row r="588" spans="1:2">
      <c r="A588" s="8">
        <v>43532.499432870369</v>
      </c>
      <c r="B588" s="2" t="s">
        <v>402</v>
      </c>
    </row>
    <row r="589" spans="1:2">
      <c r="A589" s="8">
        <v>43532.499594907407</v>
      </c>
      <c r="B589" s="2" t="s">
        <v>425</v>
      </c>
    </row>
    <row r="590" spans="1:2">
      <c r="A590" s="8">
        <v>43532.499618055554</v>
      </c>
      <c r="B590" s="2" t="s">
        <v>426</v>
      </c>
    </row>
    <row r="591" spans="1:2">
      <c r="A591" s="8">
        <v>43532.499675925923</v>
      </c>
      <c r="B591" s="2" t="s">
        <v>427</v>
      </c>
    </row>
    <row r="592" spans="1:2">
      <c r="A592" s="8">
        <v>43532.499710648146</v>
      </c>
      <c r="B592" s="2" t="s">
        <v>402</v>
      </c>
    </row>
    <row r="593" spans="1:2">
      <c r="A593" s="8">
        <v>43532.500231481485</v>
      </c>
      <c r="B593" s="2" t="s">
        <v>402</v>
      </c>
    </row>
    <row r="594" spans="1:2">
      <c r="A594" s="8">
        <v>43532.501504629632</v>
      </c>
      <c r="B594" s="2" t="s">
        <v>402</v>
      </c>
    </row>
    <row r="595" spans="1:2">
      <c r="A595" s="8">
        <v>43532.501608796294</v>
      </c>
      <c r="B595" s="2" t="s">
        <v>430</v>
      </c>
    </row>
    <row r="596" spans="1:2">
      <c r="A596" s="8">
        <v>43532.501620370371</v>
      </c>
      <c r="B596" s="2" t="s">
        <v>431</v>
      </c>
    </row>
    <row r="597" spans="1:2">
      <c r="A597" s="8">
        <v>43532.501689814817</v>
      </c>
      <c r="B597" s="2" t="s">
        <v>432</v>
      </c>
    </row>
    <row r="598" spans="1:2">
      <c r="A598" s="8">
        <v>43532.501747685186</v>
      </c>
      <c r="B598" s="2" t="s">
        <v>402</v>
      </c>
    </row>
    <row r="599" spans="1:2">
      <c r="A599" s="8">
        <v>43532.501828703702</v>
      </c>
      <c r="B599" s="2" t="s">
        <v>402</v>
      </c>
    </row>
    <row r="600" spans="1:2">
      <c r="A600" s="8">
        <v>43532.502592592595</v>
      </c>
      <c r="B600" s="2" t="s">
        <v>402</v>
      </c>
    </row>
    <row r="601" spans="1:2">
      <c r="A601" s="8">
        <v>43532.503449074073</v>
      </c>
      <c r="B601" s="2" t="s">
        <v>402</v>
      </c>
    </row>
    <row r="602" spans="1:2">
      <c r="A602" s="8">
        <v>43532.503981481481</v>
      </c>
      <c r="B602" s="2" t="s">
        <v>402</v>
      </c>
    </row>
    <row r="603" spans="1:2">
      <c r="A603" s="8">
        <v>43532.505243055559</v>
      </c>
      <c r="B603" s="2" t="s">
        <v>402</v>
      </c>
    </row>
    <row r="604" spans="1:2">
      <c r="A604" s="8">
        <v>43532.50540509259</v>
      </c>
      <c r="B604" s="2" t="s">
        <v>401</v>
      </c>
    </row>
    <row r="605" spans="1:2">
      <c r="A605" s="8">
        <v>43532.505428240744</v>
      </c>
      <c r="B605" s="2" t="s">
        <v>454</v>
      </c>
    </row>
    <row r="606" spans="1:2">
      <c r="A606" s="8">
        <v>43532.505740740744</v>
      </c>
      <c r="B606" s="2" t="s">
        <v>401</v>
      </c>
    </row>
    <row r="607" spans="1:2">
      <c r="A607" s="8">
        <v>43532.505752314813</v>
      </c>
      <c r="B607" s="2" t="s">
        <v>393</v>
      </c>
    </row>
    <row r="608" spans="1:2">
      <c r="A608" s="8">
        <v>43532.50582175926</v>
      </c>
      <c r="B608" s="2" t="s">
        <v>394</v>
      </c>
    </row>
    <row r="609" spans="1:2">
      <c r="A609" s="8">
        <v>43532.505833333336</v>
      </c>
      <c r="B609" s="2" t="s">
        <v>402</v>
      </c>
    </row>
    <row r="610" spans="1:2">
      <c r="A610" s="8">
        <v>43532.505891203706</v>
      </c>
      <c r="B610" s="2" t="s">
        <v>456</v>
      </c>
    </row>
    <row r="611" spans="1:2">
      <c r="A611" s="8">
        <v>43532.506539351853</v>
      </c>
      <c r="B611" s="2" t="s">
        <v>401</v>
      </c>
    </row>
    <row r="612" spans="1:2">
      <c r="A612" s="8">
        <v>43532.506562499999</v>
      </c>
      <c r="B612" s="2" t="s">
        <v>393</v>
      </c>
    </row>
    <row r="613" spans="1:2">
      <c r="A613" s="8">
        <v>43532.506597222222</v>
      </c>
      <c r="B613" s="2" t="s">
        <v>394</v>
      </c>
    </row>
    <row r="614" spans="1:2">
      <c r="A614" s="8">
        <v>43532.506620370368</v>
      </c>
      <c r="B614" s="2" t="s">
        <v>456</v>
      </c>
    </row>
    <row r="615" spans="1:2">
      <c r="A615" s="8">
        <v>43532.506655092591</v>
      </c>
      <c r="B615" s="2" t="s">
        <v>403</v>
      </c>
    </row>
    <row r="616" spans="1:2">
      <c r="A616" s="8">
        <v>43532.506678240738</v>
      </c>
      <c r="B616" s="2" t="s">
        <v>404</v>
      </c>
    </row>
    <row r="617" spans="1:2">
      <c r="A617" s="8">
        <v>43532.507372685184</v>
      </c>
      <c r="B617" s="2" t="s">
        <v>402</v>
      </c>
    </row>
    <row r="618" spans="1:2">
      <c r="A618" s="8">
        <v>43532.507453703707</v>
      </c>
      <c r="B618" s="2" t="s">
        <v>407</v>
      </c>
    </row>
    <row r="619" spans="1:2">
      <c r="A619" s="8">
        <v>43532.507465277777</v>
      </c>
      <c r="B619" s="2" t="s">
        <v>408</v>
      </c>
    </row>
    <row r="620" spans="1:2">
      <c r="A620" s="8">
        <v>43532.507511574076</v>
      </c>
      <c r="B620" s="2" t="s">
        <v>409</v>
      </c>
    </row>
    <row r="621" spans="1:2">
      <c r="A621" s="8">
        <v>43532.507534722223</v>
      </c>
      <c r="B621" s="2" t="s">
        <v>456</v>
      </c>
    </row>
    <row r="622" spans="1:2">
      <c r="A622" s="8">
        <v>43532.507569444446</v>
      </c>
      <c r="B622" s="2" t="s">
        <v>411</v>
      </c>
    </row>
    <row r="623" spans="1:2">
      <c r="A623" s="8">
        <v>43532.507592592592</v>
      </c>
      <c r="B623" s="2" t="s">
        <v>412</v>
      </c>
    </row>
    <row r="624" spans="1:2">
      <c r="A624" s="8">
        <v>43532.50880787037</v>
      </c>
      <c r="B624" s="2" t="s">
        <v>402</v>
      </c>
    </row>
    <row r="625" spans="1:2">
      <c r="A625" s="8">
        <v>43532.50886574074</v>
      </c>
      <c r="B625" s="2" t="s">
        <v>413</v>
      </c>
    </row>
    <row r="626" spans="1:2">
      <c r="A626" s="8">
        <v>43532.508877314816</v>
      </c>
      <c r="B626" s="2" t="s">
        <v>414</v>
      </c>
    </row>
    <row r="627" spans="1:2">
      <c r="A627" s="8">
        <v>43532.508935185186</v>
      </c>
      <c r="B627" s="2" t="s">
        <v>415</v>
      </c>
    </row>
    <row r="628" spans="1:2">
      <c r="A628" s="8">
        <v>43532.508958333332</v>
      </c>
      <c r="B628" s="2" t="s">
        <v>402</v>
      </c>
    </row>
    <row r="629" spans="1:2">
      <c r="A629" s="8">
        <v>43532.509039351855</v>
      </c>
      <c r="B629" s="2" t="s">
        <v>416</v>
      </c>
    </row>
    <row r="630" spans="1:2">
      <c r="A630" s="8">
        <v>43532.509050925924</v>
      </c>
      <c r="B630" s="2" t="s">
        <v>417</v>
      </c>
    </row>
    <row r="631" spans="1:2">
      <c r="A631" s="8">
        <v>43532.509328703702</v>
      </c>
      <c r="B631" s="2" t="s">
        <v>402</v>
      </c>
    </row>
    <row r="632" spans="1:2">
      <c r="A632" s="8">
        <v>43532.54587962963</v>
      </c>
      <c r="B632" s="2" t="s">
        <v>401</v>
      </c>
    </row>
    <row r="633" spans="1:2">
      <c r="A633" s="8">
        <v>43532.545914351853</v>
      </c>
      <c r="B633" s="2" t="s">
        <v>454</v>
      </c>
    </row>
    <row r="634" spans="1:2">
      <c r="A634" s="8">
        <v>43532.546053240738</v>
      </c>
      <c r="B634" s="2" t="s">
        <v>401</v>
      </c>
    </row>
    <row r="635" spans="1:2">
      <c r="A635" s="8">
        <v>43532.546064814815</v>
      </c>
      <c r="B635" s="2" t="s">
        <v>393</v>
      </c>
    </row>
    <row r="636" spans="1:2">
      <c r="A636" s="8">
        <v>43532.546944444446</v>
      </c>
      <c r="B636" s="2" t="s">
        <v>394</v>
      </c>
    </row>
    <row r="637" spans="1:2">
      <c r="A637" s="8">
        <v>43532.546990740739</v>
      </c>
      <c r="B637" s="2" t="s">
        <v>402</v>
      </c>
    </row>
    <row r="638" spans="1:2">
      <c r="A638" s="8">
        <v>43532.547129629631</v>
      </c>
      <c r="B638" s="2" t="s">
        <v>402</v>
      </c>
    </row>
    <row r="639" spans="1:2">
      <c r="A639" s="8">
        <v>43532.547152777777</v>
      </c>
      <c r="B639" s="2" t="s">
        <v>410</v>
      </c>
    </row>
    <row r="640" spans="1:2">
      <c r="A640" s="8">
        <v>43532.547291666669</v>
      </c>
      <c r="B640" s="2" t="s">
        <v>403</v>
      </c>
    </row>
    <row r="641" spans="1:2">
      <c r="A641" s="8">
        <v>43532.547314814816</v>
      </c>
      <c r="B641" s="2" t="s">
        <v>404</v>
      </c>
    </row>
    <row r="642" spans="1:2">
      <c r="A642" s="8">
        <v>43532.547546296293</v>
      </c>
      <c r="B642" s="2" t="s">
        <v>457</v>
      </c>
    </row>
    <row r="643" spans="1:2">
      <c r="A643" s="8">
        <v>43532.54755787037</v>
      </c>
      <c r="B643" s="2" t="s">
        <v>402</v>
      </c>
    </row>
    <row r="644" spans="1:2">
      <c r="A644" s="8">
        <v>43532.547673611109</v>
      </c>
      <c r="B644" s="2" t="s">
        <v>410</v>
      </c>
    </row>
    <row r="645" spans="1:2">
      <c r="A645" s="8">
        <v>43532.54787037037</v>
      </c>
      <c r="B645" s="2" t="s">
        <v>458</v>
      </c>
    </row>
    <row r="646" spans="1:2">
      <c r="A646" s="8">
        <v>43532.548460648148</v>
      </c>
      <c r="B646" s="2" t="s">
        <v>405</v>
      </c>
    </row>
    <row r="647" spans="1:2">
      <c r="A647" s="8">
        <v>43532.548472222225</v>
      </c>
      <c r="B647" s="2" t="s">
        <v>406</v>
      </c>
    </row>
    <row r="648" spans="1:2">
      <c r="A648" s="8">
        <v>43532.548692129632</v>
      </c>
      <c r="B648" s="2" t="s">
        <v>402</v>
      </c>
    </row>
    <row r="649" spans="1:2">
      <c r="A649" s="8">
        <v>43532.548796296294</v>
      </c>
      <c r="B649" s="2" t="s">
        <v>410</v>
      </c>
    </row>
    <row r="650" spans="1:2">
      <c r="A650" s="8">
        <v>43532.548819444448</v>
      </c>
      <c r="B650" s="2" t="s">
        <v>459</v>
      </c>
    </row>
    <row r="651" spans="1:2">
      <c r="A651" s="8">
        <v>43532.548854166664</v>
      </c>
      <c r="B651" s="2" t="s">
        <v>402</v>
      </c>
    </row>
    <row r="652" spans="1:2">
      <c r="A652" s="8">
        <v>43536.467430555553</v>
      </c>
      <c r="B652" s="2" t="s">
        <v>462</v>
      </c>
    </row>
    <row r="653" spans="1:2">
      <c r="A653" s="8">
        <v>43536.467453703706</v>
      </c>
      <c r="B653" s="2" t="s">
        <v>463</v>
      </c>
    </row>
    <row r="654" spans="1:2">
      <c r="A654" s="8">
        <v>43536.478009259263</v>
      </c>
      <c r="B654" s="2" t="s">
        <v>402</v>
      </c>
    </row>
    <row r="655" spans="1:2">
      <c r="A655" s="8">
        <v>43536.483715277776</v>
      </c>
      <c r="B655" s="2" t="s">
        <v>407</v>
      </c>
    </row>
    <row r="656" spans="1:2">
      <c r="A656" s="8">
        <v>43536.483738425923</v>
      </c>
      <c r="B656" s="2" t="s">
        <v>408</v>
      </c>
    </row>
    <row r="657" spans="1:2">
      <c r="A657" s="8">
        <v>43536.487615740742</v>
      </c>
      <c r="B657" s="2" t="s">
        <v>409</v>
      </c>
    </row>
    <row r="658" spans="1:2">
      <c r="A658" s="8">
        <v>43536.487650462965</v>
      </c>
      <c r="B658" s="2" t="s">
        <v>402</v>
      </c>
    </row>
    <row r="659" spans="1:2">
      <c r="A659" s="8">
        <v>43536.490046296298</v>
      </c>
      <c r="B659" s="2" t="s">
        <v>402</v>
      </c>
    </row>
    <row r="660" spans="1:2">
      <c r="A660" s="8">
        <v>43536.543807870374</v>
      </c>
      <c r="B660" s="2" t="s">
        <v>483</v>
      </c>
    </row>
    <row r="661" spans="1:2">
      <c r="A661" s="8">
        <v>43536.563726851855</v>
      </c>
      <c r="B661" s="2" t="s">
        <v>394</v>
      </c>
    </row>
    <row r="662" spans="1:2">
      <c r="A662" s="8">
        <v>43536.563738425924</v>
      </c>
      <c r="B662" s="2" t="s">
        <v>402</v>
      </c>
    </row>
    <row r="663" spans="1:2">
      <c r="A663" s="8">
        <v>43537.470092592594</v>
      </c>
      <c r="B663" s="2" t="s">
        <v>402</v>
      </c>
    </row>
    <row r="664" spans="1:2">
      <c r="A664" s="8">
        <v>43537.470370370371</v>
      </c>
      <c r="B664" s="2" t="s">
        <v>454</v>
      </c>
    </row>
    <row r="665" spans="1:2">
      <c r="A665" s="8">
        <v>43537.470543981479</v>
      </c>
      <c r="B665" s="2" t="s">
        <v>402</v>
      </c>
    </row>
    <row r="666" spans="1:2">
      <c r="A666" s="8">
        <v>43537.471215277779</v>
      </c>
      <c r="B666" s="2" t="s">
        <v>413</v>
      </c>
    </row>
    <row r="667" spans="1:2">
      <c r="A667" s="8">
        <v>43537.471273148149</v>
      </c>
      <c r="B667" s="2" t="s">
        <v>414</v>
      </c>
    </row>
    <row r="668" spans="1:2">
      <c r="A668" s="8">
        <v>43537.656354166669</v>
      </c>
      <c r="B668" s="2" t="s">
        <v>402</v>
      </c>
    </row>
    <row r="669" spans="1:2">
      <c r="A669" s="8">
        <v>43542.442858796298</v>
      </c>
      <c r="B669" s="2" t="s">
        <v>402</v>
      </c>
    </row>
    <row r="670" spans="1:2">
      <c r="A670" s="8">
        <v>43542.443993055553</v>
      </c>
      <c r="B670" s="2" t="s">
        <v>514</v>
      </c>
    </row>
    <row r="671" spans="1:2">
      <c r="A671" s="8">
        <v>43542.444074074076</v>
      </c>
      <c r="B671" s="2" t="s">
        <v>515</v>
      </c>
    </row>
    <row r="672" spans="1:2">
      <c r="A672" s="8">
        <v>43542.456250000003</v>
      </c>
      <c r="B672" s="2" t="s">
        <v>402</v>
      </c>
    </row>
    <row r="673" spans="1:2">
      <c r="A673" s="8">
        <v>43542.456377314818</v>
      </c>
      <c r="B673" s="2" t="s">
        <v>402</v>
      </c>
    </row>
    <row r="674" spans="1:2">
      <c r="A674" s="8">
        <v>43543.388368055559</v>
      </c>
      <c r="B674" s="2" t="s">
        <v>402</v>
      </c>
    </row>
    <row r="675" spans="1:2">
      <c r="A675" s="8">
        <v>43543.389965277776</v>
      </c>
      <c r="B675" s="2" t="s">
        <v>420</v>
      </c>
    </row>
    <row r="676" spans="1:2">
      <c r="A676" s="8">
        <v>43543.390266203707</v>
      </c>
      <c r="B676" s="2" t="s">
        <v>421</v>
      </c>
    </row>
    <row r="677" spans="1:2">
      <c r="A677" s="8">
        <v>43543.615671296298</v>
      </c>
      <c r="B677" s="2" t="s">
        <v>402</v>
      </c>
    </row>
    <row r="678" spans="1:2">
      <c r="A678" s="8">
        <v>43543.6171412037</v>
      </c>
      <c r="B678" s="2" t="s">
        <v>402</v>
      </c>
    </row>
    <row r="679" spans="1:2">
      <c r="A679" s="8">
        <v>43543.617662037039</v>
      </c>
      <c r="B679" s="2" t="s">
        <v>402</v>
      </c>
    </row>
    <row r="680" spans="1:2">
      <c r="A680" s="8">
        <v>43543.617997685185</v>
      </c>
      <c r="B680" s="2" t="s">
        <v>402</v>
      </c>
    </row>
    <row r="681" spans="1:2">
      <c r="A681" s="8">
        <v>43543.618935185186</v>
      </c>
      <c r="B681" s="2" t="s">
        <v>558</v>
      </c>
    </row>
    <row r="682" spans="1:2">
      <c r="A682" s="8">
        <v>43543.619108796294</v>
      </c>
      <c r="B682" s="2" t="s">
        <v>410</v>
      </c>
    </row>
    <row r="683" spans="1:2">
      <c r="A683" s="8">
        <v>43543.620312500003</v>
      </c>
      <c r="B683" s="2" t="s">
        <v>402</v>
      </c>
    </row>
    <row r="684" spans="1:2">
      <c r="A684" s="8">
        <v>43543.62060185185</v>
      </c>
      <c r="B684" s="2" t="s">
        <v>402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pageSetUpPr fitToPage="1"/>
  </sheetPr>
  <dimension ref="A1:M213"/>
  <sheetViews>
    <sheetView showGridLines="0" topLeftCell="A17" zoomScaleNormal="100" zoomScaleSheetLayoutView="100" zoomScalePageLayoutView="55" workbookViewId="0">
      <selection activeCell="E36" sqref="E36"/>
    </sheetView>
  </sheetViews>
  <sheetFormatPr defaultRowHeight="30" customHeight="1"/>
  <cols>
    <col min="1" max="1" width="2.125" style="30" customWidth="1"/>
    <col min="2" max="2" width="19.5" style="30" customWidth="1"/>
    <col min="3" max="3" width="32.375" style="30" customWidth="1"/>
    <col min="4" max="4" width="12.125" style="30" bestFit="1" customWidth="1"/>
    <col min="5" max="6" width="19.125" style="30" customWidth="1"/>
    <col min="7" max="7" width="2.25" style="30" customWidth="1"/>
    <col min="8" max="8" width="13.75" style="112" bestFit="1" customWidth="1"/>
    <col min="9" max="10" width="9" style="112"/>
    <col min="11" max="16384" width="9" style="1"/>
  </cols>
  <sheetData>
    <row r="1" spans="1:13" ht="45.75" customHeight="1">
      <c r="A1" s="29"/>
      <c r="B1" s="236" t="s">
        <v>6</v>
      </c>
      <c r="C1" s="236"/>
      <c r="D1" s="236"/>
      <c r="K1" s="15"/>
      <c r="L1" s="2"/>
      <c r="M1" s="2"/>
    </row>
    <row r="2" spans="1:13" ht="31.5" customHeight="1">
      <c r="B2" s="238" t="s">
        <v>9</v>
      </c>
      <c r="C2" s="238"/>
      <c r="D2" s="238"/>
      <c r="E2" s="31"/>
      <c r="K2" s="15"/>
      <c r="L2" s="2"/>
      <c r="M2" s="2"/>
    </row>
    <row r="3" spans="1:13" ht="30" customHeight="1">
      <c r="B3" s="237" t="s">
        <v>8</v>
      </c>
      <c r="C3" s="237"/>
      <c r="D3" s="237"/>
      <c r="E3" s="243"/>
      <c r="F3" s="243"/>
      <c r="H3" s="147">
        <v>0</v>
      </c>
      <c r="I3" s="113"/>
      <c r="J3" s="114"/>
      <c r="K3" s="15"/>
      <c r="L3" s="2"/>
      <c r="M3" s="2"/>
    </row>
    <row r="4" spans="1:13" ht="15" customHeight="1">
      <c r="B4" s="244" t="s">
        <v>390</v>
      </c>
      <c r="C4" s="244"/>
      <c r="D4" s="244"/>
      <c r="E4" s="32"/>
      <c r="F4" s="33"/>
      <c r="H4" s="115"/>
      <c r="I4" s="116"/>
      <c r="J4" s="117"/>
      <c r="K4" s="15"/>
      <c r="L4" s="2"/>
      <c r="M4" s="2"/>
    </row>
    <row r="5" spans="1:13" ht="15.75">
      <c r="B5" s="34" t="s">
        <v>191</v>
      </c>
      <c r="C5" s="35"/>
      <c r="D5" s="36"/>
      <c r="E5" s="37" t="s">
        <v>192</v>
      </c>
      <c r="F5" s="111"/>
      <c r="H5" s="240" t="s">
        <v>161</v>
      </c>
      <c r="I5" s="241"/>
      <c r="J5" s="242"/>
      <c r="K5" s="15"/>
      <c r="L5" s="2"/>
      <c r="M5" s="2"/>
    </row>
    <row r="6" spans="1:13" ht="15">
      <c r="B6" s="38" t="s">
        <v>193</v>
      </c>
      <c r="C6" s="245"/>
      <c r="D6" s="245"/>
      <c r="E6" s="37" t="s">
        <v>194</v>
      </c>
      <c r="F6" s="39">
        <f>F8+90</f>
        <v>90</v>
      </c>
      <c r="H6" s="240"/>
      <c r="I6" s="241"/>
      <c r="J6" s="242"/>
      <c r="K6" s="15"/>
      <c r="L6" s="2"/>
      <c r="M6" s="2"/>
    </row>
    <row r="7" spans="1:13" ht="39" customHeight="1">
      <c r="B7" s="40" t="s">
        <v>195</v>
      </c>
      <c r="C7" s="246"/>
      <c r="D7" s="246"/>
      <c r="E7" s="40"/>
      <c r="F7" s="41"/>
      <c r="H7" s="240"/>
      <c r="I7" s="241"/>
      <c r="J7" s="242"/>
      <c r="K7" s="15"/>
      <c r="L7" s="2"/>
      <c r="M7" s="2"/>
    </row>
    <row r="8" spans="1:13" s="2" customFormat="1" ht="15">
      <c r="A8" s="30"/>
      <c r="B8" s="42" t="s">
        <v>10</v>
      </c>
      <c r="C8" s="247"/>
      <c r="D8" s="247"/>
      <c r="E8" s="43" t="s">
        <v>14</v>
      </c>
      <c r="F8" s="39"/>
      <c r="G8" s="30"/>
      <c r="H8" s="115"/>
      <c r="I8" s="116"/>
      <c r="J8" s="117"/>
      <c r="K8" s="15"/>
    </row>
    <row r="9" spans="1:13" s="2" customFormat="1" ht="15">
      <c r="A9" s="30"/>
      <c r="B9" s="44" t="s">
        <v>196</v>
      </c>
      <c r="C9" s="246"/>
      <c r="D9" s="246"/>
      <c r="E9" s="30"/>
      <c r="F9" s="30"/>
      <c r="G9" s="30"/>
      <c r="H9" s="118"/>
      <c r="I9" s="119"/>
      <c r="J9" s="120"/>
      <c r="K9" s="15"/>
    </row>
    <row r="10" spans="1:13" ht="15" customHeight="1">
      <c r="B10" s="248"/>
      <c r="C10" s="248"/>
      <c r="D10" s="248"/>
      <c r="E10" s="248"/>
      <c r="F10" s="248"/>
      <c r="H10" s="20"/>
      <c r="I10" s="239"/>
      <c r="J10" s="239"/>
      <c r="K10" s="15"/>
      <c r="L10" s="2"/>
      <c r="M10" s="2"/>
    </row>
    <row r="11" spans="1:13" ht="23.25" customHeight="1">
      <c r="B11" s="45" t="s">
        <v>0</v>
      </c>
      <c r="C11" s="45" t="s">
        <v>1</v>
      </c>
      <c r="D11" s="45" t="s">
        <v>11</v>
      </c>
      <c r="E11" s="45" t="s">
        <v>2</v>
      </c>
      <c r="F11" s="45" t="s">
        <v>3</v>
      </c>
      <c r="H11" s="235" t="s">
        <v>461</v>
      </c>
      <c r="I11" s="235"/>
      <c r="J11" s="235"/>
      <c r="K11" s="235"/>
      <c r="L11" s="2"/>
      <c r="M11" s="2"/>
    </row>
    <row r="12" spans="1:13" ht="18" customHeight="1">
      <c r="B12" s="46"/>
      <c r="D12" s="47"/>
      <c r="E12" s="48"/>
      <c r="F12" s="49" t="str">
        <f>IFERROR(IF(Quotation10[[#This Row],[QUANTITY]],Quotation10[[#This Row],[QUANTITY]]*Quotation10[[#This Row],[UNIT PRICE]],""),"")</f>
        <v/>
      </c>
      <c r="H12" s="235"/>
      <c r="I12" s="235"/>
      <c r="J12" s="235"/>
      <c r="K12" s="235"/>
      <c r="L12" s="2"/>
      <c r="M12" s="2"/>
    </row>
    <row r="13" spans="1:13" ht="30" customHeight="1">
      <c r="B13" s="46"/>
      <c r="C13" s="3"/>
      <c r="D13" s="47"/>
      <c r="E13" s="48"/>
      <c r="F13" s="49" t="str">
        <f>IFERROR(IF(Quotation10[[#This Row],[QUANTITY]],Quotation10[[#This Row],[QUANTITY]]*Quotation10[[#This Row],[UNIT PRICE]],""),"")</f>
        <v/>
      </c>
      <c r="H13" s="235"/>
      <c r="I13" s="235"/>
      <c r="J13" s="235"/>
      <c r="K13" s="235"/>
      <c r="L13" s="2"/>
      <c r="M13" s="2"/>
    </row>
    <row r="14" spans="1:13" ht="19.5" customHeight="1">
      <c r="B14" s="46"/>
      <c r="D14" s="47"/>
      <c r="E14" s="48"/>
      <c r="F14" s="49" t="str">
        <f>IFERROR(IF(Quotation10[[#This Row],[QUANTITY]],Quotation10[[#This Row],[QUANTITY]]*Quotation10[[#This Row],[UNIT PRICE]],""),"")</f>
        <v/>
      </c>
      <c r="H14" s="235"/>
      <c r="I14" s="235"/>
      <c r="J14" s="235"/>
      <c r="K14" s="235"/>
      <c r="L14" s="2"/>
      <c r="M14" s="2"/>
    </row>
    <row r="15" spans="1:13" ht="19.5" customHeight="1">
      <c r="B15" s="46"/>
      <c r="C15" s="50"/>
      <c r="D15" s="47"/>
      <c r="E15" s="48"/>
      <c r="F15" s="49" t="str">
        <f>IFERROR(IF(Quotation10[[#This Row],[QUANTITY]],Quotation10[[#This Row],[QUANTITY]]*Quotation10[[#This Row],[UNIT PRICE]],""),"")</f>
        <v/>
      </c>
      <c r="H15" s="235"/>
      <c r="I15" s="235"/>
      <c r="J15" s="235"/>
      <c r="K15" s="235"/>
      <c r="L15" s="140"/>
      <c r="M15" s="140"/>
    </row>
    <row r="16" spans="1:13" ht="19.5" customHeight="1">
      <c r="B16" s="46"/>
      <c r="C16" s="50"/>
      <c r="D16" s="47"/>
      <c r="E16" s="48"/>
      <c r="F16" s="49" t="str">
        <f>IFERROR(IF(Quotation10[[#This Row],[QUANTITY]],Quotation10[[#This Row],[QUANTITY]]*Quotation10[[#This Row],[UNIT PRICE]],""),"")</f>
        <v/>
      </c>
      <c r="H16" s="235"/>
      <c r="I16" s="235"/>
      <c r="J16" s="235"/>
      <c r="K16" s="235"/>
      <c r="L16" s="140"/>
      <c r="M16" s="140"/>
    </row>
    <row r="17" spans="1:11" s="2" customFormat="1" ht="19.5" customHeight="1">
      <c r="A17" s="30"/>
      <c r="B17" s="46"/>
      <c r="C17" s="50"/>
      <c r="D17" s="47"/>
      <c r="E17" s="48"/>
      <c r="F17" s="49" t="str">
        <f>IFERROR(IF(Quotation10[[#This Row],[QUANTITY]],Quotation10[[#This Row],[QUANTITY]]*Quotation10[[#This Row],[UNIT PRICE]],""),"")</f>
        <v/>
      </c>
      <c r="G17" s="30"/>
      <c r="H17" s="235"/>
      <c r="I17" s="235"/>
      <c r="J17" s="235"/>
      <c r="K17" s="235"/>
    </row>
    <row r="18" spans="1:11" s="2" customFormat="1" ht="19.5" customHeight="1">
      <c r="A18" s="30"/>
      <c r="B18" s="46"/>
      <c r="C18" s="50"/>
      <c r="D18" s="47"/>
      <c r="E18" s="48"/>
      <c r="F18" s="49" t="str">
        <f>IFERROR(IF(Quotation10[[#This Row],[QUANTITY]],Quotation10[[#This Row],[QUANTITY]]*Quotation10[[#This Row],[UNIT PRICE]],""),"")</f>
        <v/>
      </c>
      <c r="G18" s="30"/>
      <c r="H18" s="235"/>
      <c r="I18" s="235"/>
      <c r="J18" s="235"/>
      <c r="K18" s="235"/>
    </row>
    <row r="19" spans="1:11" s="2" customFormat="1" ht="19.5" customHeight="1">
      <c r="A19" s="30"/>
      <c r="B19" s="46"/>
      <c r="C19" s="50"/>
      <c r="D19" s="47"/>
      <c r="E19" s="48"/>
      <c r="F19" s="49" t="str">
        <f>IFERROR(IF(Quotation10[[#This Row],[QUANTITY]],Quotation10[[#This Row],[QUANTITY]]*Quotation10[[#This Row],[UNIT PRICE]],""),"")</f>
        <v/>
      </c>
      <c r="G19" s="30"/>
      <c r="H19" s="235"/>
      <c r="I19" s="235"/>
      <c r="J19" s="235"/>
      <c r="K19" s="235"/>
    </row>
    <row r="20" spans="1:11" s="2" customFormat="1" ht="19.5" customHeight="1">
      <c r="A20" s="30"/>
      <c r="B20" s="46"/>
      <c r="C20" s="50"/>
      <c r="D20" s="47"/>
      <c r="E20" s="48"/>
      <c r="F20" s="49" t="str">
        <f>IFERROR(IF(Quotation10[[#This Row],[QUANTITY]],Quotation10[[#This Row],[QUANTITY]]*Quotation10[[#This Row],[UNIT PRICE]],""),"")</f>
        <v/>
      </c>
      <c r="G20" s="30"/>
      <c r="H20" s="235"/>
      <c r="I20" s="235"/>
      <c r="J20" s="235"/>
      <c r="K20" s="235"/>
    </row>
    <row r="21" spans="1:11" s="2" customFormat="1" ht="19.5" customHeight="1">
      <c r="A21" s="30"/>
      <c r="B21" s="46"/>
      <c r="C21" s="30"/>
      <c r="D21" s="47"/>
      <c r="E21" s="48"/>
      <c r="F21" s="49" t="str">
        <f>IFERROR(IF(Quotation10[[#This Row],[QUANTITY]],Quotation10[[#This Row],[QUANTITY]]*Quotation10[[#This Row],[UNIT PRICE]],""),"")</f>
        <v/>
      </c>
      <c r="G21" s="30"/>
      <c r="H21" s="235"/>
      <c r="I21" s="235"/>
      <c r="J21" s="235"/>
      <c r="K21" s="235"/>
    </row>
    <row r="22" spans="1:11" s="2" customFormat="1" ht="19.5" customHeight="1">
      <c r="A22" s="30"/>
      <c r="B22" s="46"/>
      <c r="C22" s="50"/>
      <c r="D22" s="47"/>
      <c r="E22" s="48"/>
      <c r="F22" s="49" t="str">
        <f>IFERROR(IF(Quotation10[[#This Row],[QUANTITY]],Quotation10[[#This Row],[QUANTITY]]*Quotation10[[#This Row],[UNIT PRICE]],""),"")</f>
        <v/>
      </c>
      <c r="G22" s="30"/>
      <c r="H22" s="235"/>
      <c r="I22" s="235"/>
      <c r="J22" s="235"/>
      <c r="K22" s="235"/>
    </row>
    <row r="23" spans="1:11" s="2" customFormat="1" ht="19.5" customHeight="1">
      <c r="A23" s="30"/>
      <c r="B23" s="46"/>
      <c r="C23" s="50"/>
      <c r="D23" s="47"/>
      <c r="E23" s="48"/>
      <c r="F23" s="49" t="str">
        <f>IFERROR(IF(Quotation10[[#This Row],[QUANTITY]],Quotation10[[#This Row],[QUANTITY]]*Quotation10[[#This Row],[UNIT PRICE]],""),"")</f>
        <v/>
      </c>
      <c r="G23" s="30"/>
      <c r="H23" s="235"/>
      <c r="I23" s="235"/>
      <c r="J23" s="235"/>
      <c r="K23" s="235"/>
    </row>
    <row r="24" spans="1:11" s="2" customFormat="1" ht="19.5" customHeight="1">
      <c r="A24" s="30"/>
      <c r="B24" s="46"/>
      <c r="C24" s="50"/>
      <c r="D24" s="47"/>
      <c r="E24" s="48"/>
      <c r="F24" s="49" t="str">
        <f>IFERROR(IF(Quotation10[[#This Row],[QUANTITY]],Quotation10[[#This Row],[QUANTITY]]*Quotation10[[#This Row],[UNIT PRICE]],""),"")</f>
        <v/>
      </c>
      <c r="G24" s="30"/>
      <c r="H24" s="235"/>
      <c r="I24" s="235"/>
      <c r="J24" s="235"/>
      <c r="K24" s="235"/>
    </row>
    <row r="25" spans="1:11" s="2" customFormat="1" ht="19.5" customHeight="1">
      <c r="A25" s="30"/>
      <c r="B25" s="46"/>
      <c r="C25" s="50"/>
      <c r="D25" s="47"/>
      <c r="E25" s="48"/>
      <c r="F25" s="49" t="str">
        <f>IFERROR(IF(Quotation10[[#This Row],[QUANTITY]],Quotation10[[#This Row],[QUANTITY]]*Quotation10[[#This Row],[UNIT PRICE]],""),"")</f>
        <v/>
      </c>
      <c r="G25" s="30"/>
      <c r="H25" s="235"/>
      <c r="I25" s="235"/>
      <c r="J25" s="235"/>
      <c r="K25" s="235"/>
    </row>
    <row r="26" spans="1:11" s="2" customFormat="1" ht="19.5" customHeight="1">
      <c r="A26" s="30"/>
      <c r="B26" s="46"/>
      <c r="C26" s="50"/>
      <c r="D26" s="47"/>
      <c r="E26" s="48"/>
      <c r="F26" s="49" t="str">
        <f>IFERROR(IF(Quotation10[[#This Row],[QUANTITY]],Quotation10[[#This Row],[QUANTITY]]*Quotation10[[#This Row],[UNIT PRICE]],""),"")</f>
        <v/>
      </c>
      <c r="G26" s="30"/>
      <c r="H26" s="235"/>
      <c r="I26" s="235"/>
      <c r="J26" s="235"/>
      <c r="K26" s="235"/>
    </row>
    <row r="27" spans="1:11" s="2" customFormat="1" ht="19.5" customHeight="1">
      <c r="A27" s="30"/>
      <c r="B27" s="46"/>
      <c r="C27" s="50"/>
      <c r="D27" s="47"/>
      <c r="E27" s="48"/>
      <c r="F27" s="49" t="str">
        <f>IFERROR(IF(Quotation10[[#This Row],[QUANTITY]],Quotation10[[#This Row],[QUANTITY]]*Quotation10[[#This Row],[UNIT PRICE]],""),"")</f>
        <v/>
      </c>
      <c r="G27" s="30"/>
      <c r="H27" s="235"/>
      <c r="I27" s="235"/>
      <c r="J27" s="235"/>
      <c r="K27" s="235"/>
    </row>
    <row r="28" spans="1:11" s="2" customFormat="1" ht="19.5" customHeight="1">
      <c r="A28" s="30"/>
      <c r="B28" s="46"/>
      <c r="C28" s="30"/>
      <c r="D28" s="47"/>
      <c r="E28" s="48"/>
      <c r="F28" s="49" t="str">
        <f>IFERROR(IF(Quotation10[[#This Row],[QUANTITY]],Quotation10[[#This Row],[QUANTITY]]*Quotation10[[#This Row],[UNIT PRICE]],""),"")</f>
        <v/>
      </c>
      <c r="G28" s="30"/>
      <c r="H28" s="235"/>
      <c r="I28" s="235"/>
      <c r="J28" s="235"/>
      <c r="K28" s="235"/>
    </row>
    <row r="29" spans="1:11" s="2" customFormat="1" ht="19.5" customHeight="1">
      <c r="A29" s="30"/>
      <c r="B29" s="30"/>
      <c r="C29" s="30"/>
      <c r="D29" s="30"/>
      <c r="E29" s="51" t="s">
        <v>214</v>
      </c>
      <c r="F29" s="52" t="str">
        <f>IFERROR(IF(B12,SUM(Quotation10[AMOUNT]),""),"")</f>
        <v/>
      </c>
      <c r="G29" s="30"/>
      <c r="H29" s="121" t="s">
        <v>384</v>
      </c>
      <c r="I29" s="234" t="str">
        <f>B41</f>
        <v>Walter Uy</v>
      </c>
      <c r="J29" s="234"/>
      <c r="K29" s="15"/>
    </row>
    <row r="30" spans="1:11" s="2" customFormat="1" ht="19.5" customHeight="1">
      <c r="A30" s="30"/>
      <c r="B30" s="30"/>
      <c r="C30" s="30"/>
      <c r="D30" s="30"/>
      <c r="E30" s="53" t="s">
        <v>7</v>
      </c>
      <c r="F30" s="54" t="e">
        <f>Quotation10[[#Totals],[AMOUNT]]*(H30/100)</f>
        <v>#VALUE!</v>
      </c>
      <c r="G30" s="30"/>
      <c r="H30" s="122">
        <v>0</v>
      </c>
      <c r="I30" s="261" t="s">
        <v>154</v>
      </c>
      <c r="J30" s="261"/>
      <c r="K30" s="15"/>
    </row>
    <row r="31" spans="1:11" s="2" customFormat="1" ht="19.5" customHeight="1">
      <c r="A31" s="30"/>
      <c r="B31" s="55" t="s">
        <v>197</v>
      </c>
      <c r="C31" s="31"/>
      <c r="D31" s="30"/>
      <c r="E31" s="53" t="s">
        <v>41</v>
      </c>
      <c r="F31" s="56" t="e">
        <f>Quotation10[[#Totals],[AMOUNT]]-F30</f>
        <v>#VALUE!</v>
      </c>
      <c r="G31" s="30"/>
      <c r="H31" s="123">
        <f>F42</f>
        <v>0</v>
      </c>
      <c r="I31" s="262" t="e">
        <f>F31</f>
        <v>#VALUE!</v>
      </c>
      <c r="J31" s="263"/>
      <c r="K31" s="15"/>
    </row>
    <row r="32" spans="1:11" s="2" customFormat="1" ht="13.5" customHeight="1">
      <c r="A32" s="30"/>
      <c r="B32" s="43" t="s">
        <v>198</v>
      </c>
      <c r="C32" s="50" t="s">
        <v>199</v>
      </c>
      <c r="D32" s="30"/>
      <c r="E32" s="57"/>
      <c r="F32" s="58"/>
      <c r="G32" s="30"/>
      <c r="H32" s="20"/>
      <c r="I32" s="20"/>
      <c r="J32" s="20"/>
      <c r="K32" s="15"/>
    </row>
    <row r="33" spans="1:13" s="2" customFormat="1" ht="15">
      <c r="A33" s="30"/>
      <c r="B33" s="43"/>
      <c r="C33" s="50" t="s">
        <v>200</v>
      </c>
      <c r="D33" s="30"/>
      <c r="E33" s="57"/>
      <c r="F33" s="30"/>
      <c r="G33" s="30"/>
      <c r="H33" s="20"/>
      <c r="I33" s="233"/>
      <c r="J33" s="233"/>
      <c r="K33" s="15"/>
    </row>
    <row r="34" spans="1:13" s="2" customFormat="1" ht="15">
      <c r="A34" s="30"/>
      <c r="B34" s="43"/>
      <c r="C34" s="50" t="s">
        <v>201</v>
      </c>
      <c r="D34" s="30"/>
      <c r="E34" s="57"/>
      <c r="F34" s="30"/>
      <c r="G34" s="30"/>
      <c r="H34" s="20"/>
      <c r="I34" s="20"/>
      <c r="J34" s="20"/>
      <c r="K34" s="15"/>
    </row>
    <row r="35" spans="1:13" ht="13.5" customHeight="1">
      <c r="B35" s="43"/>
      <c r="C35" s="110" t="s">
        <v>202</v>
      </c>
      <c r="H35" s="20"/>
      <c r="I35" s="20"/>
      <c r="J35" s="20"/>
      <c r="K35" s="15"/>
      <c r="L35" s="2"/>
      <c r="M35" s="2"/>
    </row>
    <row r="36" spans="1:13" ht="13.5" customHeight="1">
      <c r="B36" s="43" t="s">
        <v>203</v>
      </c>
      <c r="C36" s="50" t="s">
        <v>204</v>
      </c>
      <c r="K36" s="15"/>
      <c r="L36" s="2"/>
      <c r="M36" s="2"/>
    </row>
    <row r="37" spans="1:13" s="2" customFormat="1" ht="13.5" customHeight="1">
      <c r="A37" s="30"/>
      <c r="B37" s="43" t="s">
        <v>205</v>
      </c>
      <c r="C37" s="30" t="s">
        <v>206</v>
      </c>
      <c r="D37" s="30"/>
      <c r="E37" s="30"/>
      <c r="F37" s="30"/>
      <c r="G37" s="30"/>
      <c r="H37" s="112"/>
      <c r="I37" s="112"/>
      <c r="J37" s="112"/>
      <c r="K37" s="15"/>
    </row>
    <row r="38" spans="1:13" ht="13.5" customHeight="1">
      <c r="B38" s="43"/>
      <c r="C38" s="59" t="s">
        <v>207</v>
      </c>
      <c r="K38" s="15"/>
      <c r="L38" s="2"/>
      <c r="M38" s="2"/>
    </row>
    <row r="39" spans="1:13" ht="13.5" customHeight="1">
      <c r="K39" s="15"/>
      <c r="L39" s="2"/>
      <c r="M39" s="2"/>
    </row>
    <row r="40" spans="1:13" s="2" customFormat="1" ht="13.5" customHeight="1">
      <c r="A40" s="30"/>
      <c r="B40" s="60"/>
      <c r="C40" s="61"/>
      <c r="D40" s="60" t="s">
        <v>208</v>
      </c>
      <c r="E40" s="62"/>
      <c r="F40" s="63"/>
      <c r="G40" s="64"/>
      <c r="H40" s="112"/>
      <c r="I40" s="112"/>
      <c r="J40" s="112"/>
      <c r="K40" s="15"/>
    </row>
    <row r="41" spans="1:13" s="2" customFormat="1" ht="37.5" customHeight="1">
      <c r="A41" s="65"/>
      <c r="B41" s="66" t="s">
        <v>395</v>
      </c>
      <c r="C41" s="67" t="s">
        <v>152</v>
      </c>
      <c r="D41" s="68"/>
      <c r="E41" s="69"/>
      <c r="F41" s="70"/>
      <c r="G41" s="64"/>
      <c r="H41" s="112"/>
      <c r="I41" s="112"/>
      <c r="J41" s="112"/>
      <c r="K41" s="15"/>
    </row>
    <row r="42" spans="1:13" s="2" customFormat="1" ht="14.25" customHeight="1">
      <c r="A42" s="65"/>
      <c r="B42" s="71" t="s">
        <v>16</v>
      </c>
      <c r="C42" s="72" t="s">
        <v>153</v>
      </c>
      <c r="D42" s="249">
        <f>C5</f>
        <v>0</v>
      </c>
      <c r="E42" s="250"/>
      <c r="F42" s="251"/>
      <c r="G42" s="64"/>
      <c r="H42" s="112"/>
      <c r="I42" s="112"/>
      <c r="J42" s="112"/>
      <c r="K42" s="15"/>
    </row>
    <row r="43" spans="1:13" ht="20.25" customHeight="1">
      <c r="A43" s="73"/>
      <c r="B43" s="73"/>
      <c r="C43" s="74"/>
      <c r="D43" s="75"/>
      <c r="E43" s="76"/>
      <c r="F43" s="74"/>
      <c r="G43" s="76"/>
      <c r="K43" s="15"/>
      <c r="L43" s="2"/>
      <c r="M43" s="2"/>
    </row>
    <row r="44" spans="1:13" ht="15">
      <c r="A44" s="73"/>
      <c r="B44" s="73"/>
      <c r="C44" s="74"/>
      <c r="D44" s="75"/>
      <c r="E44" s="76"/>
      <c r="F44" s="74"/>
      <c r="G44" s="76"/>
      <c r="K44" s="15"/>
      <c r="L44" s="2"/>
      <c r="M44" s="2"/>
    </row>
    <row r="45" spans="1:13" ht="15">
      <c r="A45" s="73"/>
      <c r="B45" s="77" t="s">
        <v>209</v>
      </c>
      <c r="C45" s="78"/>
      <c r="D45" s="79"/>
      <c r="E45" s="80"/>
      <c r="F45" s="81"/>
      <c r="G45" s="76"/>
      <c r="K45" s="15"/>
      <c r="L45" s="2"/>
      <c r="M45" s="2"/>
    </row>
    <row r="46" spans="1:13" ht="15">
      <c r="A46" s="76"/>
      <c r="B46" s="82" t="s">
        <v>210</v>
      </c>
      <c r="C46" s="83"/>
      <c r="D46" s="84"/>
      <c r="E46" s="85"/>
      <c r="F46" s="86"/>
      <c r="G46" s="87"/>
      <c r="K46" s="15"/>
      <c r="L46" s="2"/>
      <c r="M46" s="2"/>
    </row>
    <row r="47" spans="1:13" ht="15">
      <c r="A47" s="76"/>
      <c r="B47" s="82" t="s">
        <v>211</v>
      </c>
      <c r="C47" s="83"/>
      <c r="D47" s="84"/>
      <c r="E47" s="85"/>
      <c r="F47" s="86"/>
      <c r="G47" s="87"/>
      <c r="H47" s="124"/>
      <c r="I47" s="125"/>
      <c r="J47" s="125"/>
      <c r="K47" s="126"/>
      <c r="L47" s="30"/>
      <c r="M47" s="30"/>
    </row>
    <row r="48" spans="1:13" ht="15">
      <c r="A48" s="88"/>
      <c r="B48" s="89">
        <f ca="1">TODAY()</f>
        <v>43543</v>
      </c>
      <c r="C48" s="90"/>
      <c r="D48" s="91"/>
      <c r="E48" s="92"/>
      <c r="F48" s="93"/>
      <c r="G48" s="87"/>
      <c r="H48" s="124"/>
      <c r="I48" s="125"/>
      <c r="J48" s="125"/>
      <c r="K48" s="127" t="s">
        <v>245</v>
      </c>
      <c r="L48" s="30"/>
      <c r="M48" s="30"/>
    </row>
    <row r="49" spans="1:13" ht="15">
      <c r="A49" s="88"/>
      <c r="B49" s="76"/>
      <c r="C49" s="74"/>
      <c r="D49" s="75"/>
      <c r="E49" s="76"/>
      <c r="F49" s="74"/>
      <c r="G49" s="87"/>
      <c r="H49" s="124"/>
      <c r="I49" s="125"/>
      <c r="J49" s="125"/>
      <c r="K49" s="128">
        <f>SUM(K50:K65)</f>
        <v>9228</v>
      </c>
      <c r="L49" s="30"/>
      <c r="M49" s="30"/>
    </row>
    <row r="50" spans="1:13" ht="15">
      <c r="A50" s="94"/>
      <c r="B50" s="252" t="s">
        <v>212</v>
      </c>
      <c r="C50" s="253"/>
      <c r="D50" s="95" t="s">
        <v>213</v>
      </c>
      <c r="E50" s="95" t="s">
        <v>2</v>
      </c>
      <c r="F50" s="96" t="s">
        <v>214</v>
      </c>
      <c r="G50" s="97"/>
      <c r="H50" s="127" t="s">
        <v>385</v>
      </c>
      <c r="I50" s="127" t="s">
        <v>386</v>
      </c>
      <c r="J50" s="127" t="s">
        <v>387</v>
      </c>
      <c r="K50" s="127" t="s">
        <v>388</v>
      </c>
      <c r="L50" s="30"/>
      <c r="M50" s="30"/>
    </row>
    <row r="51" spans="1:13" ht="15">
      <c r="A51" s="98"/>
      <c r="B51" s="99" t="s">
        <v>215</v>
      </c>
      <c r="C51" s="100" t="s">
        <v>216</v>
      </c>
      <c r="D51" s="101">
        <v>1</v>
      </c>
      <c r="E51" s="102">
        <f>H51*I51*J51</f>
        <v>93000</v>
      </c>
      <c r="F51" s="102">
        <f>E51*D51</f>
        <v>93000</v>
      </c>
      <c r="G51" s="103"/>
      <c r="H51" s="129">
        <v>750</v>
      </c>
      <c r="I51" s="130">
        <v>62</v>
      </c>
      <c r="J51" s="131">
        <v>2</v>
      </c>
      <c r="K51" s="132">
        <f>H51*D51</f>
        <v>750</v>
      </c>
      <c r="L51" s="30"/>
      <c r="M51" s="30"/>
    </row>
    <row r="52" spans="1:13" ht="165">
      <c r="A52" s="98"/>
      <c r="B52" s="99" t="s">
        <v>217</v>
      </c>
      <c r="C52" s="100" t="s">
        <v>218</v>
      </c>
      <c r="D52" s="101">
        <v>1</v>
      </c>
      <c r="E52" s="102">
        <f t="shared" ref="E52:E64" si="0">H52*I52*J52</f>
        <v>247380</v>
      </c>
      <c r="F52" s="102">
        <f t="shared" ref="F52:F65" si="1">E52*D52</f>
        <v>247380</v>
      </c>
      <c r="G52" s="103"/>
      <c r="H52" s="129">
        <v>1995</v>
      </c>
      <c r="I52" s="130">
        <v>62</v>
      </c>
      <c r="J52" s="131">
        <v>2</v>
      </c>
      <c r="K52" s="132">
        <f t="shared" ref="K52:K65" si="2">H52*D52</f>
        <v>1995</v>
      </c>
      <c r="L52" s="30"/>
      <c r="M52" s="30"/>
    </row>
    <row r="53" spans="1:13" ht="90">
      <c r="A53" s="98"/>
      <c r="B53" s="99" t="s">
        <v>219</v>
      </c>
      <c r="C53" s="100" t="s">
        <v>220</v>
      </c>
      <c r="D53" s="101">
        <v>1</v>
      </c>
      <c r="E53" s="102">
        <f t="shared" si="0"/>
        <v>37200</v>
      </c>
      <c r="F53" s="102">
        <f t="shared" si="1"/>
        <v>37200</v>
      </c>
      <c r="G53" s="103"/>
      <c r="H53" s="129">
        <v>300</v>
      </c>
      <c r="I53" s="130">
        <v>62</v>
      </c>
      <c r="J53" s="131">
        <v>2</v>
      </c>
      <c r="K53" s="132">
        <f t="shared" si="2"/>
        <v>300</v>
      </c>
      <c r="L53" s="30"/>
      <c r="M53" s="30"/>
    </row>
    <row r="54" spans="1:13">
      <c r="A54" s="98"/>
      <c r="B54" s="99" t="s">
        <v>221</v>
      </c>
      <c r="C54" s="100" t="s">
        <v>222</v>
      </c>
      <c r="D54" s="101">
        <v>1</v>
      </c>
      <c r="E54" s="102">
        <f t="shared" si="0"/>
        <v>84320</v>
      </c>
      <c r="F54" s="102">
        <f t="shared" si="1"/>
        <v>84320</v>
      </c>
      <c r="G54" s="103"/>
      <c r="H54" s="129">
        <v>1360</v>
      </c>
      <c r="I54" s="130">
        <v>62</v>
      </c>
      <c r="J54" s="131">
        <v>1</v>
      </c>
      <c r="K54" s="132">
        <f t="shared" si="2"/>
        <v>1360</v>
      </c>
      <c r="L54" s="30"/>
      <c r="M54" s="30"/>
    </row>
    <row r="55" spans="1:13" ht="75">
      <c r="A55" s="98"/>
      <c r="B55" s="99" t="s">
        <v>223</v>
      </c>
      <c r="C55" s="100" t="s">
        <v>224</v>
      </c>
      <c r="D55" s="101">
        <v>1</v>
      </c>
      <c r="E55" s="102">
        <f t="shared" si="0"/>
        <v>89280</v>
      </c>
      <c r="F55" s="102">
        <f t="shared" si="1"/>
        <v>89280</v>
      </c>
      <c r="G55" s="103"/>
      <c r="H55" s="129">
        <v>1440</v>
      </c>
      <c r="I55" s="130">
        <v>62</v>
      </c>
      <c r="J55" s="131">
        <v>1</v>
      </c>
      <c r="K55" s="132">
        <f t="shared" si="2"/>
        <v>1440</v>
      </c>
      <c r="L55" s="30"/>
      <c r="M55" s="30"/>
    </row>
    <row r="56" spans="1:13">
      <c r="A56" s="98"/>
      <c r="B56" s="99" t="s">
        <v>225</v>
      </c>
      <c r="C56" s="100" t="s">
        <v>226</v>
      </c>
      <c r="D56" s="101">
        <v>1</v>
      </c>
      <c r="E56" s="102">
        <f t="shared" si="0"/>
        <v>21824</v>
      </c>
      <c r="F56" s="102">
        <f t="shared" si="1"/>
        <v>21824</v>
      </c>
      <c r="G56" s="103"/>
      <c r="H56" s="129">
        <v>352</v>
      </c>
      <c r="I56" s="130">
        <v>62</v>
      </c>
      <c r="J56" s="131">
        <v>1</v>
      </c>
      <c r="K56" s="132">
        <f t="shared" si="2"/>
        <v>352</v>
      </c>
      <c r="L56" s="30"/>
      <c r="M56" s="30"/>
    </row>
    <row r="57" spans="1:13" ht="15">
      <c r="A57" s="98"/>
      <c r="B57" s="99" t="s">
        <v>227</v>
      </c>
      <c r="C57" s="100" t="s">
        <v>228</v>
      </c>
      <c r="D57" s="101">
        <v>1</v>
      </c>
      <c r="E57" s="102">
        <f t="shared" si="0"/>
        <v>27900</v>
      </c>
      <c r="F57" s="102">
        <f t="shared" si="1"/>
        <v>27900</v>
      </c>
      <c r="G57" s="103"/>
      <c r="H57" s="129">
        <v>300</v>
      </c>
      <c r="I57" s="130">
        <v>62</v>
      </c>
      <c r="J57" s="131">
        <v>1.5</v>
      </c>
      <c r="K57" s="132">
        <f t="shared" si="2"/>
        <v>300</v>
      </c>
      <c r="L57" s="30"/>
      <c r="M57" s="30"/>
    </row>
    <row r="58" spans="1:13" ht="15">
      <c r="A58" s="98"/>
      <c r="B58" s="99" t="s">
        <v>229</v>
      </c>
      <c r="C58" s="100" t="s">
        <v>230</v>
      </c>
      <c r="D58" s="101">
        <v>1</v>
      </c>
      <c r="E58" s="102">
        <f t="shared" si="0"/>
        <v>39308</v>
      </c>
      <c r="F58" s="102">
        <f t="shared" si="1"/>
        <v>39308</v>
      </c>
      <c r="G58" s="103"/>
      <c r="H58" s="129">
        <v>634</v>
      </c>
      <c r="I58" s="130">
        <v>62</v>
      </c>
      <c r="J58" s="131">
        <v>1</v>
      </c>
      <c r="K58" s="132">
        <f t="shared" si="2"/>
        <v>634</v>
      </c>
      <c r="L58" s="30"/>
      <c r="M58" s="30"/>
    </row>
    <row r="59" spans="1:13">
      <c r="A59" s="98"/>
      <c r="B59" s="99" t="s">
        <v>231</v>
      </c>
      <c r="C59" s="100" t="s">
        <v>232</v>
      </c>
      <c r="D59" s="101">
        <v>1</v>
      </c>
      <c r="E59" s="102">
        <f t="shared" si="0"/>
        <v>13454</v>
      </c>
      <c r="F59" s="102">
        <f t="shared" si="1"/>
        <v>13454</v>
      </c>
      <c r="G59" s="103"/>
      <c r="H59" s="129">
        <v>217</v>
      </c>
      <c r="I59" s="130">
        <v>62</v>
      </c>
      <c r="J59" s="131">
        <v>1</v>
      </c>
      <c r="K59" s="132">
        <f t="shared" si="2"/>
        <v>217</v>
      </c>
      <c r="L59" s="30"/>
      <c r="M59" s="30"/>
    </row>
    <row r="60" spans="1:13" ht="15">
      <c r="A60" s="98"/>
      <c r="B60" s="99" t="s">
        <v>233</v>
      </c>
      <c r="C60" s="100" t="s">
        <v>234</v>
      </c>
      <c r="D60" s="101">
        <v>1</v>
      </c>
      <c r="E60" s="102">
        <f t="shared" si="0"/>
        <v>2170</v>
      </c>
      <c r="F60" s="102">
        <f t="shared" si="1"/>
        <v>2170</v>
      </c>
      <c r="G60" s="103"/>
      <c r="H60" s="129">
        <v>35</v>
      </c>
      <c r="I60" s="130">
        <v>62</v>
      </c>
      <c r="J60" s="131">
        <v>1</v>
      </c>
      <c r="K60" s="132">
        <f t="shared" si="2"/>
        <v>35</v>
      </c>
      <c r="L60" s="30"/>
      <c r="M60" s="30"/>
    </row>
    <row r="61" spans="1:13" ht="15">
      <c r="A61" s="98"/>
      <c r="B61" s="99" t="s">
        <v>235</v>
      </c>
      <c r="C61" s="100" t="s">
        <v>236</v>
      </c>
      <c r="D61" s="101">
        <v>1</v>
      </c>
      <c r="E61" s="102">
        <f t="shared" si="0"/>
        <v>7626</v>
      </c>
      <c r="F61" s="102">
        <f t="shared" si="1"/>
        <v>7626</v>
      </c>
      <c r="G61" s="103"/>
      <c r="H61" s="129">
        <v>123</v>
      </c>
      <c r="I61" s="130">
        <v>62</v>
      </c>
      <c r="J61" s="131">
        <v>1</v>
      </c>
      <c r="K61" s="132">
        <f t="shared" si="2"/>
        <v>123</v>
      </c>
      <c r="L61" s="30"/>
      <c r="M61" s="30"/>
    </row>
    <row r="62" spans="1:13" ht="15">
      <c r="A62" s="98"/>
      <c r="B62" s="99" t="s">
        <v>237</v>
      </c>
      <c r="C62" s="100" t="s">
        <v>238</v>
      </c>
      <c r="D62" s="101">
        <v>1</v>
      </c>
      <c r="E62" s="102">
        <f t="shared" si="0"/>
        <v>128786.40000000001</v>
      </c>
      <c r="F62" s="102">
        <f t="shared" si="1"/>
        <v>128786.40000000001</v>
      </c>
      <c r="G62" s="103"/>
      <c r="H62" s="129">
        <v>1154</v>
      </c>
      <c r="I62" s="130">
        <v>62</v>
      </c>
      <c r="J62" s="131">
        <v>1.8</v>
      </c>
      <c r="K62" s="132">
        <f t="shared" si="2"/>
        <v>1154</v>
      </c>
      <c r="L62" s="30"/>
      <c r="M62" s="30"/>
    </row>
    <row r="63" spans="1:13">
      <c r="A63" s="98"/>
      <c r="B63" s="99" t="s">
        <v>239</v>
      </c>
      <c r="C63" s="100" t="s">
        <v>240</v>
      </c>
      <c r="D63" s="101">
        <v>1</v>
      </c>
      <c r="E63" s="102">
        <f t="shared" si="0"/>
        <v>14284.800000000001</v>
      </c>
      <c r="F63" s="102">
        <f t="shared" si="1"/>
        <v>14284.800000000001</v>
      </c>
      <c r="G63" s="103"/>
      <c r="H63" s="129">
        <v>128</v>
      </c>
      <c r="I63" s="130">
        <v>62</v>
      </c>
      <c r="J63" s="131">
        <v>1.8</v>
      </c>
      <c r="K63" s="132">
        <f t="shared" si="2"/>
        <v>128</v>
      </c>
      <c r="L63" s="30"/>
      <c r="M63" s="30"/>
    </row>
    <row r="64" spans="1:13">
      <c r="A64" s="98"/>
      <c r="B64" s="99" t="s">
        <v>241</v>
      </c>
      <c r="C64" s="100" t="s">
        <v>242</v>
      </c>
      <c r="D64" s="101">
        <v>1</v>
      </c>
      <c r="E64" s="102">
        <f t="shared" si="0"/>
        <v>18600</v>
      </c>
      <c r="F64" s="102">
        <f t="shared" si="1"/>
        <v>18600</v>
      </c>
      <c r="G64" s="103"/>
      <c r="H64" s="129">
        <v>300</v>
      </c>
      <c r="I64" s="130">
        <v>62</v>
      </c>
      <c r="J64" s="131">
        <v>1</v>
      </c>
      <c r="K64" s="132">
        <f t="shared" si="2"/>
        <v>300</v>
      </c>
      <c r="L64" s="30"/>
      <c r="M64" s="30"/>
    </row>
    <row r="65" spans="1:13">
      <c r="A65" s="98"/>
      <c r="B65" s="99" t="s">
        <v>243</v>
      </c>
      <c r="C65" s="100" t="s">
        <v>244</v>
      </c>
      <c r="D65" s="101">
        <v>1</v>
      </c>
      <c r="E65" s="102">
        <f>H65*I65*J65</f>
        <v>17360</v>
      </c>
      <c r="F65" s="102">
        <f t="shared" si="1"/>
        <v>17360</v>
      </c>
      <c r="G65" s="103"/>
      <c r="H65" s="133">
        <v>140</v>
      </c>
      <c r="I65" s="134">
        <v>62</v>
      </c>
      <c r="J65" s="135">
        <v>2</v>
      </c>
      <c r="K65" s="136">
        <f t="shared" si="2"/>
        <v>140</v>
      </c>
      <c r="L65" s="30"/>
      <c r="M65" s="30"/>
    </row>
    <row r="66" spans="1:13" ht="15">
      <c r="A66" s="98"/>
      <c r="B66" s="254" t="s">
        <v>245</v>
      </c>
      <c r="C66" s="255"/>
      <c r="D66" s="255"/>
      <c r="E66" s="256"/>
      <c r="F66" s="104">
        <f>SUM(F51:F65)</f>
        <v>842493.20000000007</v>
      </c>
      <c r="G66" s="103"/>
      <c r="H66" s="137"/>
      <c r="I66" s="137"/>
      <c r="J66" s="138"/>
      <c r="K66" s="139"/>
      <c r="L66" s="30"/>
      <c r="M66" s="30"/>
    </row>
    <row r="67" spans="1:13" ht="15">
      <c r="H67" s="126"/>
      <c r="I67" s="126"/>
      <c r="J67" s="126"/>
      <c r="K67" s="126"/>
      <c r="L67" s="30"/>
      <c r="M67" s="30"/>
    </row>
    <row r="68" spans="1:13" ht="15">
      <c r="A68" s="94"/>
      <c r="B68" s="252" t="s">
        <v>246</v>
      </c>
      <c r="C68" s="253"/>
      <c r="D68" s="95" t="s">
        <v>213</v>
      </c>
      <c r="E68" s="95" t="s">
        <v>2</v>
      </c>
      <c r="F68" s="96" t="s">
        <v>214</v>
      </c>
      <c r="G68" s="97"/>
      <c r="H68" s="127" t="s">
        <v>385</v>
      </c>
      <c r="I68" s="127" t="s">
        <v>386</v>
      </c>
      <c r="J68" s="127" t="s">
        <v>387</v>
      </c>
      <c r="K68" s="127" t="s">
        <v>388</v>
      </c>
      <c r="L68" s="30"/>
      <c r="M68" s="30"/>
    </row>
    <row r="69" spans="1:13" ht="15">
      <c r="A69" s="98"/>
      <c r="B69" s="99" t="s">
        <v>215</v>
      </c>
      <c r="C69" s="100" t="s">
        <v>216</v>
      </c>
      <c r="D69" s="101">
        <v>1</v>
      </c>
      <c r="E69" s="102">
        <f t="shared" ref="E69:E76" si="3">H69*I69*J69</f>
        <v>93000</v>
      </c>
      <c r="F69" s="102">
        <f t="shared" ref="F69:F92" si="4">E69*D69</f>
        <v>93000</v>
      </c>
      <c r="G69" s="103"/>
      <c r="H69" s="129">
        <v>750</v>
      </c>
      <c r="I69" s="130">
        <v>62</v>
      </c>
      <c r="J69" s="131">
        <v>2</v>
      </c>
      <c r="K69" s="132">
        <f t="shared" ref="K69:K92" si="5">H69*D69</f>
        <v>750</v>
      </c>
      <c r="L69" s="30"/>
      <c r="M69" s="30"/>
    </row>
    <row r="70" spans="1:13" ht="90">
      <c r="A70" s="98"/>
      <c r="B70" s="99" t="s">
        <v>247</v>
      </c>
      <c r="C70" s="100" t="s">
        <v>248</v>
      </c>
      <c r="D70" s="101">
        <v>1</v>
      </c>
      <c r="E70" s="102">
        <f t="shared" si="3"/>
        <v>79236</v>
      </c>
      <c r="F70" s="102">
        <f t="shared" si="4"/>
        <v>79236</v>
      </c>
      <c r="G70" s="103"/>
      <c r="H70" s="129">
        <v>639</v>
      </c>
      <c r="I70" s="130">
        <v>62</v>
      </c>
      <c r="J70" s="131">
        <v>2</v>
      </c>
      <c r="K70" s="132">
        <f t="shared" si="5"/>
        <v>639</v>
      </c>
      <c r="L70" s="30"/>
      <c r="M70" s="30"/>
    </row>
    <row r="71" spans="1:13" ht="60">
      <c r="A71" s="98"/>
      <c r="B71" s="99" t="s">
        <v>249</v>
      </c>
      <c r="C71" s="100" t="s">
        <v>250</v>
      </c>
      <c r="D71" s="101">
        <v>1</v>
      </c>
      <c r="E71" s="102">
        <f t="shared" si="3"/>
        <v>7316</v>
      </c>
      <c r="F71" s="102">
        <f t="shared" si="4"/>
        <v>7316</v>
      </c>
      <c r="G71" s="103"/>
      <c r="H71" s="129">
        <v>118</v>
      </c>
      <c r="I71" s="130">
        <v>62</v>
      </c>
      <c r="J71" s="131">
        <v>1</v>
      </c>
      <c r="K71" s="132">
        <f t="shared" si="5"/>
        <v>118</v>
      </c>
      <c r="L71" s="30"/>
      <c r="M71" s="30"/>
    </row>
    <row r="72" spans="1:13" ht="15">
      <c r="A72" s="98"/>
      <c r="B72" s="99" t="s">
        <v>251</v>
      </c>
      <c r="C72" s="100" t="s">
        <v>252</v>
      </c>
      <c r="D72" s="101">
        <v>1</v>
      </c>
      <c r="E72" s="102">
        <f t="shared" si="3"/>
        <v>28520</v>
      </c>
      <c r="F72" s="102">
        <f t="shared" si="4"/>
        <v>28520</v>
      </c>
      <c r="G72" s="103"/>
      <c r="H72" s="129">
        <v>460</v>
      </c>
      <c r="I72" s="130">
        <v>62</v>
      </c>
      <c r="J72" s="131">
        <v>1</v>
      </c>
      <c r="K72" s="132">
        <f t="shared" si="5"/>
        <v>460</v>
      </c>
      <c r="L72" s="30"/>
      <c r="M72" s="30"/>
    </row>
    <row r="73" spans="1:13" ht="15">
      <c r="A73" s="98"/>
      <c r="B73" s="99" t="s">
        <v>253</v>
      </c>
      <c r="C73" s="100" t="s">
        <v>254</v>
      </c>
      <c r="D73" s="101">
        <v>1</v>
      </c>
      <c r="E73" s="102">
        <f t="shared" si="3"/>
        <v>7440</v>
      </c>
      <c r="F73" s="102">
        <f t="shared" si="4"/>
        <v>7440</v>
      </c>
      <c r="G73" s="103"/>
      <c r="H73" s="129">
        <v>120</v>
      </c>
      <c r="I73" s="130">
        <v>62</v>
      </c>
      <c r="J73" s="131">
        <v>1</v>
      </c>
      <c r="K73" s="132">
        <f t="shared" si="5"/>
        <v>120</v>
      </c>
      <c r="L73" s="30"/>
      <c r="M73" s="30"/>
    </row>
    <row r="74" spans="1:13">
      <c r="A74" s="98"/>
      <c r="B74" s="99" t="s">
        <v>255</v>
      </c>
      <c r="C74" s="100" t="s">
        <v>256</v>
      </c>
      <c r="D74" s="101">
        <v>1</v>
      </c>
      <c r="E74" s="102">
        <f t="shared" si="3"/>
        <v>19840</v>
      </c>
      <c r="F74" s="102">
        <f t="shared" si="4"/>
        <v>19840</v>
      </c>
      <c r="G74" s="103"/>
      <c r="H74" s="129">
        <v>320</v>
      </c>
      <c r="I74" s="130">
        <v>62</v>
      </c>
      <c r="J74" s="131">
        <v>1</v>
      </c>
      <c r="K74" s="132">
        <f t="shared" si="5"/>
        <v>320</v>
      </c>
      <c r="L74" s="30"/>
      <c r="M74" s="30"/>
    </row>
    <row r="75" spans="1:13" ht="15">
      <c r="A75" s="98"/>
      <c r="B75" s="99" t="s">
        <v>257</v>
      </c>
      <c r="C75" s="100" t="s">
        <v>258</v>
      </c>
      <c r="D75" s="101">
        <v>1</v>
      </c>
      <c r="E75" s="102">
        <f t="shared" si="3"/>
        <v>11532</v>
      </c>
      <c r="F75" s="102">
        <f t="shared" si="4"/>
        <v>11532</v>
      </c>
      <c r="G75" s="103"/>
      <c r="H75" s="129">
        <v>186</v>
      </c>
      <c r="I75" s="130">
        <v>62</v>
      </c>
      <c r="J75" s="131">
        <v>1</v>
      </c>
      <c r="K75" s="132">
        <f t="shared" si="5"/>
        <v>186</v>
      </c>
      <c r="L75" s="30"/>
      <c r="M75" s="30"/>
    </row>
    <row r="76" spans="1:13" ht="15">
      <c r="A76" s="98"/>
      <c r="B76" s="99" t="s">
        <v>259</v>
      </c>
      <c r="C76" s="100" t="s">
        <v>260</v>
      </c>
      <c r="D76" s="101">
        <v>1</v>
      </c>
      <c r="E76" s="102">
        <f t="shared" si="3"/>
        <v>12028</v>
      </c>
      <c r="F76" s="102">
        <f t="shared" si="4"/>
        <v>12028</v>
      </c>
      <c r="G76" s="103"/>
      <c r="H76" s="129">
        <v>194</v>
      </c>
      <c r="I76" s="130">
        <v>62</v>
      </c>
      <c r="J76" s="131">
        <v>1</v>
      </c>
      <c r="K76" s="132">
        <f t="shared" si="5"/>
        <v>194</v>
      </c>
      <c r="L76" s="30"/>
      <c r="M76" s="30"/>
    </row>
    <row r="77" spans="1:13" ht="165">
      <c r="A77" s="98"/>
      <c r="B77" s="99" t="s">
        <v>217</v>
      </c>
      <c r="C77" s="100" t="s">
        <v>218</v>
      </c>
      <c r="D77" s="101">
        <v>1</v>
      </c>
      <c r="E77" s="102">
        <f>H77*I77*J77</f>
        <v>247380</v>
      </c>
      <c r="F77" s="102">
        <f t="shared" si="4"/>
        <v>247380</v>
      </c>
      <c r="G77" s="103"/>
      <c r="H77" s="129">
        <v>1995</v>
      </c>
      <c r="I77" s="130">
        <v>62</v>
      </c>
      <c r="J77" s="131">
        <v>2</v>
      </c>
      <c r="K77" s="132">
        <f t="shared" si="5"/>
        <v>1995</v>
      </c>
      <c r="L77" s="30"/>
      <c r="M77" s="30"/>
    </row>
    <row r="78" spans="1:13" ht="90">
      <c r="A78" s="98"/>
      <c r="B78" s="99" t="s">
        <v>219</v>
      </c>
      <c r="C78" s="100" t="s">
        <v>220</v>
      </c>
      <c r="D78" s="101">
        <v>1</v>
      </c>
      <c r="E78" s="102">
        <f t="shared" ref="E78:E91" si="6">H78*I78*J78</f>
        <v>37200</v>
      </c>
      <c r="F78" s="102">
        <f t="shared" si="4"/>
        <v>37200</v>
      </c>
      <c r="G78" s="103"/>
      <c r="H78" s="129">
        <v>300</v>
      </c>
      <c r="I78" s="130">
        <v>62</v>
      </c>
      <c r="J78" s="131">
        <v>2</v>
      </c>
      <c r="K78" s="132">
        <f t="shared" si="5"/>
        <v>300</v>
      </c>
      <c r="L78" s="30"/>
      <c r="M78" s="30"/>
    </row>
    <row r="79" spans="1:13">
      <c r="A79" s="98"/>
      <c r="B79" s="99" t="s">
        <v>225</v>
      </c>
      <c r="C79" s="100" t="s">
        <v>226</v>
      </c>
      <c r="D79" s="101">
        <v>1</v>
      </c>
      <c r="E79" s="102">
        <f t="shared" si="6"/>
        <v>21824</v>
      </c>
      <c r="F79" s="102">
        <f t="shared" si="4"/>
        <v>21824</v>
      </c>
      <c r="G79" s="103"/>
      <c r="H79" s="129">
        <v>352</v>
      </c>
      <c r="I79" s="130">
        <v>62</v>
      </c>
      <c r="J79" s="131">
        <v>1</v>
      </c>
      <c r="K79" s="132">
        <f t="shared" si="5"/>
        <v>352</v>
      </c>
      <c r="L79" s="30"/>
      <c r="M79" s="30"/>
    </row>
    <row r="80" spans="1:13" ht="15">
      <c r="A80" s="98"/>
      <c r="B80" s="99" t="s">
        <v>227</v>
      </c>
      <c r="C80" s="100" t="s">
        <v>228</v>
      </c>
      <c r="D80" s="101">
        <v>1</v>
      </c>
      <c r="E80" s="102">
        <f t="shared" si="6"/>
        <v>27900</v>
      </c>
      <c r="F80" s="102">
        <f t="shared" si="4"/>
        <v>27900</v>
      </c>
      <c r="G80" s="103"/>
      <c r="H80" s="129">
        <v>300</v>
      </c>
      <c r="I80" s="130">
        <v>62</v>
      </c>
      <c r="J80" s="131">
        <v>1.5</v>
      </c>
      <c r="K80" s="132">
        <f t="shared" si="5"/>
        <v>300</v>
      </c>
      <c r="L80" s="30"/>
      <c r="M80" s="30"/>
    </row>
    <row r="81" spans="1:13" ht="15">
      <c r="A81" s="98"/>
      <c r="B81" s="99" t="s">
        <v>261</v>
      </c>
      <c r="C81" s="100" t="s">
        <v>262</v>
      </c>
      <c r="D81" s="101">
        <v>1</v>
      </c>
      <c r="E81" s="102">
        <f t="shared" si="6"/>
        <v>18600</v>
      </c>
      <c r="F81" s="102">
        <f t="shared" si="4"/>
        <v>18600</v>
      </c>
      <c r="G81" s="103"/>
      <c r="H81" s="129">
        <v>300</v>
      </c>
      <c r="I81" s="130">
        <v>62</v>
      </c>
      <c r="J81" s="131">
        <v>1</v>
      </c>
      <c r="K81" s="132">
        <f t="shared" si="5"/>
        <v>300</v>
      </c>
      <c r="L81" s="30"/>
      <c r="M81" s="30"/>
    </row>
    <row r="82" spans="1:13" ht="15">
      <c r="A82" s="98"/>
      <c r="B82" s="99" t="s">
        <v>263</v>
      </c>
      <c r="C82" s="100" t="s">
        <v>264</v>
      </c>
      <c r="D82" s="101">
        <v>1</v>
      </c>
      <c r="E82" s="102">
        <f t="shared" si="6"/>
        <v>35712</v>
      </c>
      <c r="F82" s="102">
        <f t="shared" si="4"/>
        <v>35712</v>
      </c>
      <c r="G82" s="103"/>
      <c r="H82" s="129">
        <v>384</v>
      </c>
      <c r="I82" s="130">
        <v>62</v>
      </c>
      <c r="J82" s="131">
        <v>1.5</v>
      </c>
      <c r="K82" s="132">
        <f t="shared" si="5"/>
        <v>384</v>
      </c>
      <c r="L82" s="30"/>
      <c r="M82" s="30"/>
    </row>
    <row r="83" spans="1:13">
      <c r="A83" s="98"/>
      <c r="B83" s="99" t="s">
        <v>265</v>
      </c>
      <c r="C83" s="100" t="s">
        <v>266</v>
      </c>
      <c r="D83" s="101">
        <v>1</v>
      </c>
      <c r="E83" s="102">
        <f t="shared" si="6"/>
        <v>89280</v>
      </c>
      <c r="F83" s="102">
        <f t="shared" si="4"/>
        <v>89280</v>
      </c>
      <c r="G83" s="103"/>
      <c r="H83" s="129">
        <v>960</v>
      </c>
      <c r="I83" s="130">
        <v>62</v>
      </c>
      <c r="J83" s="131">
        <v>1.5</v>
      </c>
      <c r="K83" s="132">
        <f t="shared" si="5"/>
        <v>960</v>
      </c>
      <c r="L83" s="30"/>
      <c r="M83" s="30"/>
    </row>
    <row r="84" spans="1:13">
      <c r="A84" s="98"/>
      <c r="B84" s="99" t="s">
        <v>267</v>
      </c>
      <c r="C84" s="100" t="s">
        <v>268</v>
      </c>
      <c r="D84" s="101">
        <v>1</v>
      </c>
      <c r="E84" s="102">
        <f t="shared" si="6"/>
        <v>8246</v>
      </c>
      <c r="F84" s="102">
        <f t="shared" si="4"/>
        <v>8246</v>
      </c>
      <c r="G84" s="103"/>
      <c r="H84" s="129">
        <v>133</v>
      </c>
      <c r="I84" s="130">
        <v>62</v>
      </c>
      <c r="J84" s="131">
        <v>1</v>
      </c>
      <c r="K84" s="132">
        <f t="shared" si="5"/>
        <v>133</v>
      </c>
      <c r="L84" s="30"/>
      <c r="M84" s="30"/>
    </row>
    <row r="85" spans="1:13" ht="15">
      <c r="A85" s="98"/>
      <c r="B85" s="99" t="s">
        <v>229</v>
      </c>
      <c r="C85" s="100" t="s">
        <v>230</v>
      </c>
      <c r="D85" s="101">
        <v>1</v>
      </c>
      <c r="E85" s="102">
        <f t="shared" si="6"/>
        <v>39308</v>
      </c>
      <c r="F85" s="102">
        <f t="shared" si="4"/>
        <v>39308</v>
      </c>
      <c r="G85" s="103"/>
      <c r="H85" s="129">
        <v>634</v>
      </c>
      <c r="I85" s="130">
        <v>62</v>
      </c>
      <c r="J85" s="131">
        <v>1</v>
      </c>
      <c r="K85" s="132">
        <f t="shared" si="5"/>
        <v>634</v>
      </c>
      <c r="L85" s="30"/>
      <c r="M85" s="30"/>
    </row>
    <row r="86" spans="1:13">
      <c r="A86" s="98"/>
      <c r="B86" s="99" t="s">
        <v>231</v>
      </c>
      <c r="C86" s="100" t="s">
        <v>232</v>
      </c>
      <c r="D86" s="101">
        <v>1</v>
      </c>
      <c r="E86" s="102">
        <f t="shared" si="6"/>
        <v>13454</v>
      </c>
      <c r="F86" s="102">
        <f t="shared" si="4"/>
        <v>13454</v>
      </c>
      <c r="G86" s="103"/>
      <c r="H86" s="129">
        <v>217</v>
      </c>
      <c r="I86" s="130">
        <v>62</v>
      </c>
      <c r="J86" s="131">
        <v>1</v>
      </c>
      <c r="K86" s="132">
        <f t="shared" si="5"/>
        <v>217</v>
      </c>
      <c r="L86" s="30"/>
      <c r="M86" s="30"/>
    </row>
    <row r="87" spans="1:13" ht="15">
      <c r="A87" s="98"/>
      <c r="B87" s="99" t="s">
        <v>233</v>
      </c>
      <c r="C87" s="100" t="s">
        <v>234</v>
      </c>
      <c r="D87" s="101">
        <v>1</v>
      </c>
      <c r="E87" s="102">
        <f t="shared" si="6"/>
        <v>2170</v>
      </c>
      <c r="F87" s="102">
        <f t="shared" si="4"/>
        <v>2170</v>
      </c>
      <c r="G87" s="103"/>
      <c r="H87" s="129">
        <v>35</v>
      </c>
      <c r="I87" s="130">
        <v>62</v>
      </c>
      <c r="J87" s="131">
        <v>1</v>
      </c>
      <c r="K87" s="132">
        <f t="shared" si="5"/>
        <v>35</v>
      </c>
      <c r="L87" s="30"/>
      <c r="M87" s="30"/>
    </row>
    <row r="88" spans="1:13" ht="15">
      <c r="A88" s="98"/>
      <c r="B88" s="99" t="s">
        <v>235</v>
      </c>
      <c r="C88" s="100" t="s">
        <v>236</v>
      </c>
      <c r="D88" s="101">
        <v>1</v>
      </c>
      <c r="E88" s="102">
        <f t="shared" si="6"/>
        <v>7626</v>
      </c>
      <c r="F88" s="102">
        <f t="shared" si="4"/>
        <v>7626</v>
      </c>
      <c r="G88" s="103"/>
      <c r="H88" s="129">
        <v>123</v>
      </c>
      <c r="I88" s="130">
        <v>62</v>
      </c>
      <c r="J88" s="131">
        <v>1</v>
      </c>
      <c r="K88" s="132">
        <f t="shared" si="5"/>
        <v>123</v>
      </c>
      <c r="L88" s="30"/>
      <c r="M88" s="30"/>
    </row>
    <row r="89" spans="1:13" ht="15">
      <c r="A89" s="98"/>
      <c r="B89" s="99" t="s">
        <v>237</v>
      </c>
      <c r="C89" s="100" t="s">
        <v>238</v>
      </c>
      <c r="D89" s="101">
        <v>1</v>
      </c>
      <c r="E89" s="102">
        <f t="shared" si="6"/>
        <v>128786.40000000001</v>
      </c>
      <c r="F89" s="102">
        <f t="shared" si="4"/>
        <v>128786.40000000001</v>
      </c>
      <c r="G89" s="103"/>
      <c r="H89" s="129">
        <v>1154</v>
      </c>
      <c r="I89" s="130">
        <v>62</v>
      </c>
      <c r="J89" s="131">
        <v>1.8</v>
      </c>
      <c r="K89" s="132">
        <f t="shared" si="5"/>
        <v>1154</v>
      </c>
      <c r="L89" s="30"/>
      <c r="M89" s="30"/>
    </row>
    <row r="90" spans="1:13">
      <c r="A90" s="98"/>
      <c r="B90" s="99" t="s">
        <v>239</v>
      </c>
      <c r="C90" s="100" t="s">
        <v>240</v>
      </c>
      <c r="D90" s="101">
        <v>1</v>
      </c>
      <c r="E90" s="102">
        <f t="shared" si="6"/>
        <v>14284.800000000001</v>
      </c>
      <c r="F90" s="102">
        <f t="shared" si="4"/>
        <v>14284.800000000001</v>
      </c>
      <c r="G90" s="103"/>
      <c r="H90" s="129">
        <v>128</v>
      </c>
      <c r="I90" s="130">
        <v>62</v>
      </c>
      <c r="J90" s="131">
        <v>1.8</v>
      </c>
      <c r="K90" s="132">
        <f t="shared" si="5"/>
        <v>128</v>
      </c>
      <c r="L90" s="30"/>
      <c r="M90" s="30"/>
    </row>
    <row r="91" spans="1:13">
      <c r="A91" s="98"/>
      <c r="B91" s="99" t="s">
        <v>241</v>
      </c>
      <c r="C91" s="100" t="s">
        <v>242</v>
      </c>
      <c r="D91" s="101">
        <v>1</v>
      </c>
      <c r="E91" s="102">
        <f t="shared" si="6"/>
        <v>18600</v>
      </c>
      <c r="F91" s="102">
        <f t="shared" si="4"/>
        <v>18600</v>
      </c>
      <c r="G91" s="103"/>
      <c r="H91" s="129">
        <v>300</v>
      </c>
      <c r="I91" s="130">
        <v>62</v>
      </c>
      <c r="J91" s="131">
        <v>1</v>
      </c>
      <c r="K91" s="132">
        <f t="shared" si="5"/>
        <v>300</v>
      </c>
      <c r="L91" s="30"/>
      <c r="M91" s="30"/>
    </row>
    <row r="92" spans="1:13">
      <c r="A92" s="98"/>
      <c r="B92" s="99" t="s">
        <v>243</v>
      </c>
      <c r="C92" s="100" t="s">
        <v>244</v>
      </c>
      <c r="D92" s="101">
        <v>1</v>
      </c>
      <c r="E92" s="102">
        <f>H92*I92*J92</f>
        <v>17360</v>
      </c>
      <c r="F92" s="102">
        <f t="shared" si="4"/>
        <v>17360</v>
      </c>
      <c r="G92" s="103"/>
      <c r="H92" s="133">
        <v>140</v>
      </c>
      <c r="I92" s="134">
        <v>62</v>
      </c>
      <c r="J92" s="135">
        <v>2</v>
      </c>
      <c r="K92" s="136">
        <f t="shared" si="5"/>
        <v>140</v>
      </c>
      <c r="L92" s="30"/>
      <c r="M92" s="30"/>
    </row>
    <row r="93" spans="1:13" ht="15">
      <c r="A93" s="98"/>
      <c r="B93" s="254" t="s">
        <v>245</v>
      </c>
      <c r="C93" s="255"/>
      <c r="D93" s="255"/>
      <c r="E93" s="256"/>
      <c r="F93" s="104">
        <f>SUM(F69:F92)</f>
        <v>986643.20000000007</v>
      </c>
      <c r="G93" s="103"/>
      <c r="H93" s="137"/>
      <c r="I93" s="137"/>
      <c r="J93" s="138"/>
      <c r="K93" s="139"/>
      <c r="L93" s="30"/>
      <c r="M93" s="30"/>
    </row>
    <row r="94" spans="1:13" ht="15">
      <c r="H94" s="126"/>
      <c r="I94" s="126"/>
      <c r="J94" s="126"/>
      <c r="K94" s="126"/>
      <c r="L94" s="30"/>
      <c r="M94" s="30"/>
    </row>
    <row r="95" spans="1:13" ht="15">
      <c r="A95" s="94"/>
      <c r="B95" s="252" t="s">
        <v>269</v>
      </c>
      <c r="C95" s="253"/>
      <c r="D95" s="95" t="s">
        <v>213</v>
      </c>
      <c r="E95" s="95" t="s">
        <v>2</v>
      </c>
      <c r="F95" s="96" t="s">
        <v>214</v>
      </c>
      <c r="G95" s="97"/>
      <c r="H95" s="127" t="s">
        <v>385</v>
      </c>
      <c r="I95" s="127" t="s">
        <v>386</v>
      </c>
      <c r="J95" s="127" t="s">
        <v>387</v>
      </c>
      <c r="K95" s="127" t="s">
        <v>388</v>
      </c>
      <c r="L95" s="30"/>
      <c r="M95" s="30"/>
    </row>
    <row r="96" spans="1:13" ht="15">
      <c r="A96" s="98"/>
      <c r="B96" s="99" t="s">
        <v>215</v>
      </c>
      <c r="C96" s="100" t="s">
        <v>216</v>
      </c>
      <c r="D96" s="101">
        <v>1</v>
      </c>
      <c r="E96" s="102">
        <f t="shared" ref="E96:E109" si="7">H96*I96*J96</f>
        <v>93000</v>
      </c>
      <c r="F96" s="102">
        <f t="shared" ref="F96:F110" si="8">E96*D96</f>
        <v>93000</v>
      </c>
      <c r="G96" s="103"/>
      <c r="H96" s="129">
        <v>750</v>
      </c>
      <c r="I96" s="130">
        <v>62</v>
      </c>
      <c r="J96" s="131">
        <v>2</v>
      </c>
      <c r="K96" s="132">
        <f t="shared" ref="K96:K110" si="9">H96*D96</f>
        <v>750</v>
      </c>
      <c r="L96" s="30"/>
      <c r="M96" s="30"/>
    </row>
    <row r="97" spans="1:13" ht="90">
      <c r="A97" s="98"/>
      <c r="B97" s="99" t="s">
        <v>247</v>
      </c>
      <c r="C97" s="100" t="s">
        <v>248</v>
      </c>
      <c r="D97" s="101">
        <v>1</v>
      </c>
      <c r="E97" s="102">
        <f t="shared" si="7"/>
        <v>79236</v>
      </c>
      <c r="F97" s="102">
        <f t="shared" si="8"/>
        <v>79236</v>
      </c>
      <c r="G97" s="103"/>
      <c r="H97" s="129">
        <v>639</v>
      </c>
      <c r="I97" s="130">
        <v>62</v>
      </c>
      <c r="J97" s="131">
        <v>2</v>
      </c>
      <c r="K97" s="132">
        <f t="shared" si="9"/>
        <v>639</v>
      </c>
      <c r="L97" s="30"/>
      <c r="M97" s="30"/>
    </row>
    <row r="98" spans="1:13" ht="75">
      <c r="A98" s="98"/>
      <c r="B98" s="99" t="s">
        <v>270</v>
      </c>
      <c r="C98" s="100" t="s">
        <v>271</v>
      </c>
      <c r="D98" s="101">
        <v>1</v>
      </c>
      <c r="E98" s="102">
        <f t="shared" si="7"/>
        <v>79236</v>
      </c>
      <c r="F98" s="102">
        <f t="shared" si="8"/>
        <v>79236</v>
      </c>
      <c r="G98" s="103"/>
      <c r="H98" s="129">
        <v>639</v>
      </c>
      <c r="I98" s="130">
        <v>62</v>
      </c>
      <c r="J98" s="131">
        <v>2</v>
      </c>
      <c r="K98" s="132">
        <f t="shared" si="9"/>
        <v>639</v>
      </c>
      <c r="L98" s="30"/>
      <c r="M98" s="30"/>
    </row>
    <row r="99" spans="1:13" ht="60">
      <c r="A99" s="98"/>
      <c r="B99" s="99" t="s">
        <v>249</v>
      </c>
      <c r="C99" s="100" t="s">
        <v>250</v>
      </c>
      <c r="D99" s="101">
        <v>1</v>
      </c>
      <c r="E99" s="102">
        <f t="shared" si="7"/>
        <v>7316</v>
      </c>
      <c r="F99" s="102">
        <f t="shared" si="8"/>
        <v>7316</v>
      </c>
      <c r="G99" s="103"/>
      <c r="H99" s="129">
        <v>118</v>
      </c>
      <c r="I99" s="130">
        <v>62</v>
      </c>
      <c r="J99" s="131">
        <v>1</v>
      </c>
      <c r="K99" s="132">
        <f t="shared" si="9"/>
        <v>118</v>
      </c>
      <c r="L99" s="30"/>
      <c r="M99" s="30"/>
    </row>
    <row r="100" spans="1:13" ht="15">
      <c r="A100" s="98"/>
      <c r="B100" s="99" t="s">
        <v>251</v>
      </c>
      <c r="C100" s="100" t="s">
        <v>252</v>
      </c>
      <c r="D100" s="101">
        <v>1</v>
      </c>
      <c r="E100" s="102">
        <f t="shared" si="7"/>
        <v>28520</v>
      </c>
      <c r="F100" s="102">
        <f t="shared" si="8"/>
        <v>28520</v>
      </c>
      <c r="G100" s="103"/>
      <c r="H100" s="129">
        <v>460</v>
      </c>
      <c r="I100" s="130">
        <v>62</v>
      </c>
      <c r="J100" s="131">
        <v>1</v>
      </c>
      <c r="K100" s="132">
        <f t="shared" si="9"/>
        <v>460</v>
      </c>
      <c r="L100" s="30"/>
      <c r="M100" s="30"/>
    </row>
    <row r="101" spans="1:13" ht="15">
      <c r="A101" s="98"/>
      <c r="B101" s="99" t="s">
        <v>253</v>
      </c>
      <c r="C101" s="100" t="s">
        <v>254</v>
      </c>
      <c r="D101" s="101">
        <v>1</v>
      </c>
      <c r="E101" s="102">
        <f t="shared" si="7"/>
        <v>7440</v>
      </c>
      <c r="F101" s="102">
        <f t="shared" si="8"/>
        <v>7440</v>
      </c>
      <c r="G101" s="103"/>
      <c r="H101" s="129">
        <v>120</v>
      </c>
      <c r="I101" s="130">
        <v>62</v>
      </c>
      <c r="J101" s="131">
        <v>1</v>
      </c>
      <c r="K101" s="132">
        <f t="shared" si="9"/>
        <v>120</v>
      </c>
      <c r="L101" s="30"/>
      <c r="M101" s="30"/>
    </row>
    <row r="102" spans="1:13">
      <c r="A102" s="98"/>
      <c r="B102" s="99" t="s">
        <v>255</v>
      </c>
      <c r="C102" s="100" t="s">
        <v>256</v>
      </c>
      <c r="D102" s="101">
        <v>1</v>
      </c>
      <c r="E102" s="102">
        <f t="shared" si="7"/>
        <v>19840</v>
      </c>
      <c r="F102" s="102">
        <f t="shared" si="8"/>
        <v>19840</v>
      </c>
      <c r="G102" s="103"/>
      <c r="H102" s="129">
        <v>320</v>
      </c>
      <c r="I102" s="130">
        <v>62</v>
      </c>
      <c r="J102" s="131">
        <v>1</v>
      </c>
      <c r="K102" s="132">
        <f t="shared" si="9"/>
        <v>320</v>
      </c>
      <c r="L102" s="30"/>
      <c r="M102" s="30"/>
    </row>
    <row r="103" spans="1:13" ht="15">
      <c r="A103" s="98"/>
      <c r="B103" s="99" t="s">
        <v>257</v>
      </c>
      <c r="C103" s="100" t="s">
        <v>258</v>
      </c>
      <c r="D103" s="101">
        <v>1</v>
      </c>
      <c r="E103" s="102">
        <f t="shared" si="7"/>
        <v>11532</v>
      </c>
      <c r="F103" s="102">
        <f t="shared" si="8"/>
        <v>11532</v>
      </c>
      <c r="G103" s="103"/>
      <c r="H103" s="129">
        <v>186</v>
      </c>
      <c r="I103" s="130">
        <v>62</v>
      </c>
      <c r="J103" s="131">
        <v>1</v>
      </c>
      <c r="K103" s="132">
        <f t="shared" si="9"/>
        <v>186</v>
      </c>
      <c r="L103" s="30"/>
      <c r="M103" s="30"/>
    </row>
    <row r="104" spans="1:13" ht="15">
      <c r="A104" s="98"/>
      <c r="B104" s="99" t="s">
        <v>259</v>
      </c>
      <c r="C104" s="100" t="s">
        <v>260</v>
      </c>
      <c r="D104" s="101">
        <v>1</v>
      </c>
      <c r="E104" s="102">
        <f t="shared" si="7"/>
        <v>12028</v>
      </c>
      <c r="F104" s="102">
        <f t="shared" si="8"/>
        <v>12028</v>
      </c>
      <c r="G104" s="103"/>
      <c r="H104" s="129">
        <v>194</v>
      </c>
      <c r="I104" s="130">
        <v>62</v>
      </c>
      <c r="J104" s="131">
        <v>1</v>
      </c>
      <c r="K104" s="132">
        <f t="shared" si="9"/>
        <v>194</v>
      </c>
      <c r="L104" s="30"/>
      <c r="M104" s="30"/>
    </row>
    <row r="105" spans="1:13" ht="15">
      <c r="A105" s="98"/>
      <c r="B105" s="99" t="s">
        <v>261</v>
      </c>
      <c r="C105" s="100" t="s">
        <v>262</v>
      </c>
      <c r="D105" s="101">
        <v>1</v>
      </c>
      <c r="E105" s="102">
        <f t="shared" si="7"/>
        <v>18600</v>
      </c>
      <c r="F105" s="102">
        <f t="shared" si="8"/>
        <v>18600</v>
      </c>
      <c r="G105" s="103"/>
      <c r="H105" s="129">
        <v>300</v>
      </c>
      <c r="I105" s="130">
        <v>62</v>
      </c>
      <c r="J105" s="131">
        <v>1</v>
      </c>
      <c r="K105" s="132">
        <f t="shared" si="9"/>
        <v>300</v>
      </c>
      <c r="L105" s="30"/>
      <c r="M105" s="30"/>
    </row>
    <row r="106" spans="1:13" ht="15">
      <c r="A106" s="98"/>
      <c r="B106" s="99" t="s">
        <v>263</v>
      </c>
      <c r="C106" s="100" t="s">
        <v>264</v>
      </c>
      <c r="D106" s="101">
        <v>1</v>
      </c>
      <c r="E106" s="102">
        <f t="shared" si="7"/>
        <v>35712</v>
      </c>
      <c r="F106" s="102">
        <f t="shared" si="8"/>
        <v>35712</v>
      </c>
      <c r="G106" s="103"/>
      <c r="H106" s="129">
        <v>384</v>
      </c>
      <c r="I106" s="130">
        <v>62</v>
      </c>
      <c r="J106" s="131">
        <v>1.5</v>
      </c>
      <c r="K106" s="132">
        <f t="shared" si="9"/>
        <v>384</v>
      </c>
      <c r="L106" s="30"/>
      <c r="M106" s="30"/>
    </row>
    <row r="107" spans="1:13">
      <c r="A107" s="98"/>
      <c r="B107" s="99" t="s">
        <v>267</v>
      </c>
      <c r="C107" s="100" t="s">
        <v>268</v>
      </c>
      <c r="D107" s="101">
        <v>1</v>
      </c>
      <c r="E107" s="102">
        <f t="shared" si="7"/>
        <v>8246</v>
      </c>
      <c r="F107" s="102">
        <f t="shared" si="8"/>
        <v>8246</v>
      </c>
      <c r="G107" s="103"/>
      <c r="H107" s="129">
        <v>133</v>
      </c>
      <c r="I107" s="130">
        <v>62</v>
      </c>
      <c r="J107" s="131">
        <v>1</v>
      </c>
      <c r="K107" s="132">
        <f t="shared" si="9"/>
        <v>133</v>
      </c>
      <c r="L107" s="30"/>
      <c r="M107" s="30"/>
    </row>
    <row r="108" spans="1:13" ht="15">
      <c r="A108" s="98"/>
      <c r="B108" s="99" t="s">
        <v>272</v>
      </c>
      <c r="C108" s="100" t="s">
        <v>273</v>
      </c>
      <c r="D108" s="101">
        <v>1</v>
      </c>
      <c r="E108" s="102">
        <f t="shared" si="7"/>
        <v>9548</v>
      </c>
      <c r="F108" s="102">
        <f t="shared" si="8"/>
        <v>9548</v>
      </c>
      <c r="G108" s="103"/>
      <c r="H108" s="129">
        <v>154</v>
      </c>
      <c r="I108" s="130">
        <v>62</v>
      </c>
      <c r="J108" s="131">
        <v>1</v>
      </c>
      <c r="K108" s="132">
        <f t="shared" si="9"/>
        <v>154</v>
      </c>
      <c r="L108" s="30"/>
      <c r="M108" s="30"/>
    </row>
    <row r="109" spans="1:13">
      <c r="A109" s="98"/>
      <c r="B109" s="99" t="s">
        <v>241</v>
      </c>
      <c r="C109" s="100" t="s">
        <v>242</v>
      </c>
      <c r="D109" s="101">
        <v>1</v>
      </c>
      <c r="E109" s="102">
        <f t="shared" si="7"/>
        <v>18600</v>
      </c>
      <c r="F109" s="102">
        <f t="shared" si="8"/>
        <v>18600</v>
      </c>
      <c r="G109" s="103"/>
      <c r="H109" s="129">
        <v>300</v>
      </c>
      <c r="I109" s="130">
        <v>62</v>
      </c>
      <c r="J109" s="131">
        <v>1</v>
      </c>
      <c r="K109" s="132">
        <f t="shared" si="9"/>
        <v>300</v>
      </c>
      <c r="L109" s="30"/>
      <c r="M109" s="30"/>
    </row>
    <row r="110" spans="1:13">
      <c r="A110" s="98"/>
      <c r="B110" s="99" t="s">
        <v>243</v>
      </c>
      <c r="C110" s="100" t="s">
        <v>244</v>
      </c>
      <c r="D110" s="101">
        <v>1</v>
      </c>
      <c r="E110" s="102">
        <f>H110*I110*J110</f>
        <v>17360</v>
      </c>
      <c r="F110" s="102">
        <f t="shared" si="8"/>
        <v>17360</v>
      </c>
      <c r="G110" s="103"/>
      <c r="H110" s="133">
        <v>140</v>
      </c>
      <c r="I110" s="134">
        <v>62</v>
      </c>
      <c r="J110" s="135">
        <v>2</v>
      </c>
      <c r="K110" s="136">
        <f t="shared" si="9"/>
        <v>140</v>
      </c>
      <c r="L110" s="30"/>
      <c r="M110" s="30"/>
    </row>
    <row r="111" spans="1:13" ht="15">
      <c r="A111" s="98"/>
      <c r="B111" s="254" t="s">
        <v>245</v>
      </c>
      <c r="C111" s="255"/>
      <c r="D111" s="255"/>
      <c r="E111" s="256"/>
      <c r="F111" s="104">
        <f>SUM(F96:F110)</f>
        <v>446214</v>
      </c>
      <c r="G111" s="103"/>
      <c r="H111" s="137"/>
      <c r="I111" s="137"/>
      <c r="J111" s="138"/>
      <c r="K111" s="139"/>
      <c r="L111" s="30"/>
      <c r="M111" s="30"/>
    </row>
    <row r="112" spans="1:13" ht="15">
      <c r="H112" s="126"/>
      <c r="I112" s="126"/>
      <c r="J112" s="126"/>
      <c r="K112" s="126"/>
      <c r="L112" s="30"/>
      <c r="M112" s="30"/>
    </row>
    <row r="113" spans="1:13" ht="15">
      <c r="A113" s="94"/>
      <c r="B113" s="252" t="s">
        <v>274</v>
      </c>
      <c r="C113" s="253"/>
      <c r="D113" s="95" t="s">
        <v>213</v>
      </c>
      <c r="E113" s="95" t="s">
        <v>2</v>
      </c>
      <c r="F113" s="96" t="s">
        <v>214</v>
      </c>
      <c r="G113" s="97"/>
      <c r="H113" s="127" t="s">
        <v>385</v>
      </c>
      <c r="I113" s="127" t="s">
        <v>386</v>
      </c>
      <c r="J113" s="127" t="s">
        <v>387</v>
      </c>
      <c r="K113" s="127" t="s">
        <v>388</v>
      </c>
      <c r="L113" s="30"/>
      <c r="M113" s="30"/>
    </row>
    <row r="114" spans="1:13" ht="75">
      <c r="A114" s="98"/>
      <c r="B114" s="99" t="s">
        <v>270</v>
      </c>
      <c r="C114" s="100" t="s">
        <v>271</v>
      </c>
      <c r="D114" s="101">
        <v>1</v>
      </c>
      <c r="E114" s="102">
        <f>H114*I114*J114</f>
        <v>79236</v>
      </c>
      <c r="F114" s="102">
        <f>E114*D114</f>
        <v>79236</v>
      </c>
      <c r="G114" s="103"/>
      <c r="H114" s="129">
        <v>639</v>
      </c>
      <c r="I114" s="130">
        <v>62</v>
      </c>
      <c r="J114" s="131">
        <v>2</v>
      </c>
      <c r="K114" s="132">
        <f>H114*D114</f>
        <v>639</v>
      </c>
      <c r="L114" s="30"/>
      <c r="M114" s="30"/>
    </row>
    <row r="115" spans="1:13" ht="60">
      <c r="A115" s="98"/>
      <c r="B115" s="99" t="s">
        <v>249</v>
      </c>
      <c r="C115" s="100" t="s">
        <v>250</v>
      </c>
      <c r="D115" s="101">
        <v>1</v>
      </c>
      <c r="E115" s="102">
        <f>H115*I115*J115</f>
        <v>7316</v>
      </c>
      <c r="F115" s="102">
        <f>E115*D115</f>
        <v>7316</v>
      </c>
      <c r="G115" s="103"/>
      <c r="H115" s="129">
        <v>118</v>
      </c>
      <c r="I115" s="130">
        <v>62</v>
      </c>
      <c r="J115" s="131">
        <v>1</v>
      </c>
      <c r="K115" s="132">
        <f>H115*D115</f>
        <v>118</v>
      </c>
      <c r="L115" s="30"/>
      <c r="M115" s="30"/>
    </row>
    <row r="116" spans="1:13" ht="15">
      <c r="A116" s="98"/>
      <c r="B116" s="99" t="s">
        <v>275</v>
      </c>
      <c r="C116" s="100" t="s">
        <v>276</v>
      </c>
      <c r="D116" s="101">
        <v>1</v>
      </c>
      <c r="E116" s="102">
        <f>H116*I116*J116</f>
        <v>9672</v>
      </c>
      <c r="F116" s="102">
        <f>E116*D116</f>
        <v>9672</v>
      </c>
      <c r="G116" s="103"/>
      <c r="H116" s="129">
        <v>156</v>
      </c>
      <c r="I116" s="130">
        <v>62</v>
      </c>
      <c r="J116" s="131">
        <v>1</v>
      </c>
      <c r="K116" s="132">
        <f>H116*D116</f>
        <v>156</v>
      </c>
      <c r="L116" s="30"/>
      <c r="M116" s="30"/>
    </row>
    <row r="117" spans="1:13" ht="15">
      <c r="A117" s="98"/>
      <c r="B117" s="99" t="s">
        <v>259</v>
      </c>
      <c r="C117" s="100" t="s">
        <v>260</v>
      </c>
      <c r="D117" s="101">
        <v>1</v>
      </c>
      <c r="E117" s="102">
        <f t="shared" ref="E117:E121" si="10">H117*I117*J117</f>
        <v>12028</v>
      </c>
      <c r="F117" s="102">
        <f t="shared" ref="F117:F122" si="11">E117*D117</f>
        <v>12028</v>
      </c>
      <c r="G117" s="103"/>
      <c r="H117" s="129">
        <v>194</v>
      </c>
      <c r="I117" s="130">
        <v>62</v>
      </c>
      <c r="J117" s="131">
        <v>1</v>
      </c>
      <c r="K117" s="132">
        <f t="shared" ref="K117:K122" si="12">H117*D117</f>
        <v>194</v>
      </c>
      <c r="L117" s="30"/>
      <c r="M117" s="30"/>
    </row>
    <row r="118" spans="1:13" ht="15">
      <c r="A118" s="98"/>
      <c r="B118" s="99" t="s">
        <v>261</v>
      </c>
      <c r="C118" s="100" t="s">
        <v>262</v>
      </c>
      <c r="D118" s="101">
        <v>1</v>
      </c>
      <c r="E118" s="102">
        <f t="shared" si="10"/>
        <v>18600</v>
      </c>
      <c r="F118" s="102">
        <f t="shared" si="11"/>
        <v>18600</v>
      </c>
      <c r="G118" s="103"/>
      <c r="H118" s="129">
        <v>300</v>
      </c>
      <c r="I118" s="130">
        <v>62</v>
      </c>
      <c r="J118" s="131">
        <v>1</v>
      </c>
      <c r="K118" s="132">
        <f t="shared" si="12"/>
        <v>300</v>
      </c>
      <c r="L118" s="30"/>
      <c r="M118" s="30"/>
    </row>
    <row r="119" spans="1:13">
      <c r="A119" s="98"/>
      <c r="B119" s="99" t="s">
        <v>267</v>
      </c>
      <c r="C119" s="100" t="s">
        <v>268</v>
      </c>
      <c r="D119" s="101">
        <v>1</v>
      </c>
      <c r="E119" s="102">
        <f t="shared" si="10"/>
        <v>8246</v>
      </c>
      <c r="F119" s="102">
        <f t="shared" si="11"/>
        <v>8246</v>
      </c>
      <c r="G119" s="103"/>
      <c r="H119" s="129">
        <v>133</v>
      </c>
      <c r="I119" s="130">
        <v>62</v>
      </c>
      <c r="J119" s="131">
        <v>1</v>
      </c>
      <c r="K119" s="132">
        <f t="shared" si="12"/>
        <v>133</v>
      </c>
      <c r="L119" s="30"/>
      <c r="M119" s="30"/>
    </row>
    <row r="120" spans="1:13" ht="15">
      <c r="A120" s="98"/>
      <c r="B120" s="99" t="s">
        <v>272</v>
      </c>
      <c r="C120" s="100" t="s">
        <v>273</v>
      </c>
      <c r="D120" s="101">
        <v>1</v>
      </c>
      <c r="E120" s="102">
        <f t="shared" si="10"/>
        <v>9548</v>
      </c>
      <c r="F120" s="102">
        <f t="shared" si="11"/>
        <v>9548</v>
      </c>
      <c r="G120" s="103"/>
      <c r="H120" s="129">
        <v>154</v>
      </c>
      <c r="I120" s="130">
        <v>62</v>
      </c>
      <c r="J120" s="131">
        <v>1</v>
      </c>
      <c r="K120" s="132">
        <f t="shared" si="12"/>
        <v>154</v>
      </c>
      <c r="L120" s="30"/>
      <c r="M120" s="30"/>
    </row>
    <row r="121" spans="1:13">
      <c r="A121" s="98"/>
      <c r="B121" s="99" t="s">
        <v>241</v>
      </c>
      <c r="C121" s="100" t="s">
        <v>242</v>
      </c>
      <c r="D121" s="101">
        <v>1</v>
      </c>
      <c r="E121" s="102">
        <f t="shared" si="10"/>
        <v>18600</v>
      </c>
      <c r="F121" s="102">
        <f t="shared" si="11"/>
        <v>18600</v>
      </c>
      <c r="G121" s="103"/>
      <c r="H121" s="129">
        <v>300</v>
      </c>
      <c r="I121" s="130">
        <v>62</v>
      </c>
      <c r="J121" s="131">
        <v>1</v>
      </c>
      <c r="K121" s="132">
        <f t="shared" si="12"/>
        <v>300</v>
      </c>
      <c r="L121" s="30"/>
      <c r="M121" s="30"/>
    </row>
    <row r="122" spans="1:13">
      <c r="A122" s="98"/>
      <c r="B122" s="99" t="s">
        <v>243</v>
      </c>
      <c r="C122" s="100" t="s">
        <v>244</v>
      </c>
      <c r="D122" s="101">
        <v>1</v>
      </c>
      <c r="E122" s="102">
        <f>H122*I122*J122</f>
        <v>17360</v>
      </c>
      <c r="F122" s="102">
        <f t="shared" si="11"/>
        <v>17360</v>
      </c>
      <c r="G122" s="103"/>
      <c r="H122" s="133">
        <v>140</v>
      </c>
      <c r="I122" s="134">
        <v>62</v>
      </c>
      <c r="J122" s="135">
        <v>2</v>
      </c>
      <c r="K122" s="136">
        <f t="shared" si="12"/>
        <v>140</v>
      </c>
      <c r="L122" s="30"/>
      <c r="M122" s="30"/>
    </row>
    <row r="123" spans="1:13" ht="15">
      <c r="A123" s="98"/>
      <c r="B123" s="254" t="s">
        <v>245</v>
      </c>
      <c r="C123" s="255"/>
      <c r="D123" s="255"/>
      <c r="E123" s="256"/>
      <c r="F123" s="104">
        <f>SUM(F114:F122)</f>
        <v>180606</v>
      </c>
      <c r="G123" s="103"/>
      <c r="H123" s="137"/>
      <c r="I123" s="137"/>
      <c r="J123" s="138"/>
      <c r="K123" s="139"/>
      <c r="L123" s="30"/>
      <c r="M123" s="30"/>
    </row>
    <row r="124" spans="1:13" ht="15">
      <c r="H124" s="126"/>
      <c r="I124" s="126"/>
      <c r="J124" s="126"/>
      <c r="K124" s="126"/>
      <c r="L124" s="30"/>
      <c r="M124" s="30"/>
    </row>
    <row r="125" spans="1:13" ht="15">
      <c r="A125" s="94"/>
      <c r="B125" s="252" t="s">
        <v>277</v>
      </c>
      <c r="C125" s="253"/>
      <c r="D125" s="95" t="s">
        <v>213</v>
      </c>
      <c r="E125" s="95" t="s">
        <v>2</v>
      </c>
      <c r="F125" s="96" t="s">
        <v>214</v>
      </c>
      <c r="G125" s="97"/>
      <c r="H125" s="127" t="s">
        <v>385</v>
      </c>
      <c r="I125" s="127" t="s">
        <v>386</v>
      </c>
      <c r="J125" s="127" t="s">
        <v>387</v>
      </c>
      <c r="K125" s="127" t="s">
        <v>388</v>
      </c>
      <c r="L125" s="30"/>
      <c r="M125" s="30"/>
    </row>
    <row r="126" spans="1:13" ht="75">
      <c r="A126" s="98"/>
      <c r="B126" s="99" t="s">
        <v>278</v>
      </c>
      <c r="C126" s="100" t="s">
        <v>279</v>
      </c>
      <c r="D126" s="101">
        <v>1</v>
      </c>
      <c r="E126" s="102">
        <f>H126*I126*J126</f>
        <v>19840</v>
      </c>
      <c r="F126" s="102">
        <f>E126*D126</f>
        <v>19840</v>
      </c>
      <c r="G126" s="103"/>
      <c r="H126" s="129">
        <v>320</v>
      </c>
      <c r="I126" s="130">
        <v>62</v>
      </c>
      <c r="J126" s="131">
        <v>1</v>
      </c>
      <c r="K126" s="132">
        <f>H126*D126</f>
        <v>320</v>
      </c>
      <c r="L126" s="30"/>
      <c r="M126" s="30"/>
    </row>
    <row r="127" spans="1:13" ht="90">
      <c r="A127" s="98"/>
      <c r="B127" s="99" t="s">
        <v>280</v>
      </c>
      <c r="C127" s="100" t="s">
        <v>281</v>
      </c>
      <c r="D127" s="101">
        <v>1</v>
      </c>
      <c r="E127" s="102">
        <f>H127*I127*J127</f>
        <v>43400</v>
      </c>
      <c r="F127" s="102">
        <f>E127*D127</f>
        <v>43400</v>
      </c>
      <c r="G127" s="103"/>
      <c r="H127" s="129">
        <v>700</v>
      </c>
      <c r="I127" s="130">
        <v>62</v>
      </c>
      <c r="J127" s="131">
        <v>1</v>
      </c>
      <c r="K127" s="132">
        <f>H127*D127</f>
        <v>700</v>
      </c>
      <c r="L127" s="30"/>
      <c r="M127" s="30"/>
    </row>
    <row r="128" spans="1:13" ht="90">
      <c r="A128" s="98"/>
      <c r="B128" s="99" t="s">
        <v>282</v>
      </c>
      <c r="C128" s="100" t="s">
        <v>283</v>
      </c>
      <c r="D128" s="101">
        <v>1</v>
      </c>
      <c r="E128" s="102">
        <f>H128*I128*J128</f>
        <v>95170</v>
      </c>
      <c r="F128" s="102">
        <f>E128*D128</f>
        <v>95170</v>
      </c>
      <c r="G128" s="103"/>
      <c r="H128" s="129">
        <v>1535</v>
      </c>
      <c r="I128" s="130">
        <v>62</v>
      </c>
      <c r="J128" s="131">
        <v>1</v>
      </c>
      <c r="K128" s="132">
        <f>H128*D128</f>
        <v>1535</v>
      </c>
      <c r="L128" s="30"/>
      <c r="M128" s="30"/>
    </row>
    <row r="129" spans="1:13">
      <c r="A129" s="98"/>
      <c r="B129" s="99" t="s">
        <v>284</v>
      </c>
      <c r="C129" s="100" t="s">
        <v>285</v>
      </c>
      <c r="D129" s="101">
        <v>1</v>
      </c>
      <c r="E129" s="102">
        <f t="shared" ref="E129:E136" si="13">H129*I129*J129</f>
        <v>7440</v>
      </c>
      <c r="F129" s="102">
        <f t="shared" ref="F129:F137" si="14">E129*D129</f>
        <v>7440</v>
      </c>
      <c r="G129" s="103"/>
      <c r="H129" s="129">
        <v>120</v>
      </c>
      <c r="I129" s="130">
        <v>62</v>
      </c>
      <c r="J129" s="131">
        <v>1</v>
      </c>
      <c r="K129" s="132">
        <f t="shared" ref="K129:K137" si="15">H129*D129</f>
        <v>120</v>
      </c>
      <c r="L129" s="30"/>
      <c r="M129" s="30"/>
    </row>
    <row r="130" spans="1:13" ht="45">
      <c r="A130" s="98"/>
      <c r="B130" s="99" t="s">
        <v>286</v>
      </c>
      <c r="C130" s="100" t="s">
        <v>287</v>
      </c>
      <c r="D130" s="101">
        <v>1</v>
      </c>
      <c r="E130" s="102">
        <f t="shared" si="13"/>
        <v>11904</v>
      </c>
      <c r="F130" s="102">
        <f t="shared" si="14"/>
        <v>11904</v>
      </c>
      <c r="G130" s="103"/>
      <c r="H130" s="129">
        <v>192</v>
      </c>
      <c r="I130" s="130">
        <v>62</v>
      </c>
      <c r="J130" s="131">
        <v>1</v>
      </c>
      <c r="K130" s="132">
        <f t="shared" si="15"/>
        <v>192</v>
      </c>
      <c r="L130" s="30"/>
      <c r="M130" s="30"/>
    </row>
    <row r="131" spans="1:13">
      <c r="A131" s="98"/>
      <c r="B131" s="99" t="s">
        <v>288</v>
      </c>
      <c r="C131" s="100" t="s">
        <v>289</v>
      </c>
      <c r="D131" s="101">
        <v>1</v>
      </c>
      <c r="E131" s="102">
        <f t="shared" si="13"/>
        <v>34100</v>
      </c>
      <c r="F131" s="102">
        <f t="shared" si="14"/>
        <v>34100</v>
      </c>
      <c r="G131" s="103"/>
      <c r="H131" s="129">
        <v>550</v>
      </c>
      <c r="I131" s="130">
        <v>62</v>
      </c>
      <c r="J131" s="131">
        <v>1</v>
      </c>
      <c r="K131" s="132">
        <f t="shared" si="15"/>
        <v>550</v>
      </c>
      <c r="L131" s="30"/>
      <c r="M131" s="30"/>
    </row>
    <row r="132" spans="1:13" ht="75">
      <c r="A132" s="98"/>
      <c r="B132" s="99" t="s">
        <v>290</v>
      </c>
      <c r="C132" s="100" t="s">
        <v>291</v>
      </c>
      <c r="D132" s="101">
        <v>1</v>
      </c>
      <c r="E132" s="102">
        <f t="shared" si="13"/>
        <v>22320</v>
      </c>
      <c r="F132" s="102">
        <f t="shared" si="14"/>
        <v>22320</v>
      </c>
      <c r="G132" s="103"/>
      <c r="H132" s="129">
        <v>360</v>
      </c>
      <c r="I132" s="130">
        <v>62</v>
      </c>
      <c r="J132" s="131">
        <v>1</v>
      </c>
      <c r="K132" s="132">
        <f t="shared" si="15"/>
        <v>360</v>
      </c>
      <c r="L132" s="30"/>
      <c r="M132" s="30"/>
    </row>
    <row r="133" spans="1:13">
      <c r="A133" s="98"/>
      <c r="B133" s="99" t="s">
        <v>292</v>
      </c>
      <c r="C133" s="100" t="s">
        <v>293</v>
      </c>
      <c r="D133" s="101">
        <v>1</v>
      </c>
      <c r="E133" s="102">
        <f t="shared" si="13"/>
        <v>31000</v>
      </c>
      <c r="F133" s="102">
        <f t="shared" si="14"/>
        <v>31000</v>
      </c>
      <c r="G133" s="103"/>
      <c r="H133" s="129">
        <v>500</v>
      </c>
      <c r="I133" s="130">
        <v>62</v>
      </c>
      <c r="J133" s="131">
        <v>1</v>
      </c>
      <c r="K133" s="132">
        <f t="shared" si="15"/>
        <v>500</v>
      </c>
      <c r="L133" s="30"/>
      <c r="M133" s="30"/>
    </row>
    <row r="134" spans="1:13">
      <c r="A134" s="98"/>
      <c r="B134" s="99" t="s">
        <v>294</v>
      </c>
      <c r="C134" s="100" t="s">
        <v>295</v>
      </c>
      <c r="D134" s="101">
        <v>1</v>
      </c>
      <c r="E134" s="102">
        <f t="shared" si="13"/>
        <v>25200</v>
      </c>
      <c r="F134" s="102">
        <f t="shared" si="14"/>
        <v>25200</v>
      </c>
      <c r="G134" s="103"/>
      <c r="H134" s="133">
        <v>400</v>
      </c>
      <c r="I134" s="130">
        <v>63</v>
      </c>
      <c r="J134" s="131">
        <v>1</v>
      </c>
      <c r="K134" s="136">
        <f t="shared" si="15"/>
        <v>400</v>
      </c>
      <c r="L134" s="30"/>
      <c r="M134" s="30"/>
    </row>
    <row r="135" spans="1:13">
      <c r="A135" s="98"/>
      <c r="B135" s="99" t="s">
        <v>296</v>
      </c>
      <c r="C135" s="100" t="s">
        <v>297</v>
      </c>
      <c r="D135" s="101">
        <v>1</v>
      </c>
      <c r="E135" s="102">
        <f t="shared" si="13"/>
        <v>12800</v>
      </c>
      <c r="F135" s="102">
        <f t="shared" si="14"/>
        <v>12800</v>
      </c>
      <c r="G135" s="103"/>
      <c r="H135" s="133">
        <v>200</v>
      </c>
      <c r="I135" s="130">
        <v>64</v>
      </c>
      <c r="J135" s="131">
        <v>1</v>
      </c>
      <c r="K135" s="136">
        <f t="shared" si="15"/>
        <v>200</v>
      </c>
      <c r="L135" s="30"/>
      <c r="M135" s="30"/>
    </row>
    <row r="136" spans="1:13">
      <c r="A136" s="98"/>
      <c r="B136" s="99" t="s">
        <v>298</v>
      </c>
      <c r="C136" s="100" t="s">
        <v>299</v>
      </c>
      <c r="D136" s="101">
        <v>1</v>
      </c>
      <c r="E136" s="102">
        <f t="shared" si="13"/>
        <v>39000</v>
      </c>
      <c r="F136" s="102">
        <f t="shared" si="14"/>
        <v>39000</v>
      </c>
      <c r="G136" s="103"/>
      <c r="H136" s="133">
        <v>600</v>
      </c>
      <c r="I136" s="130">
        <v>65</v>
      </c>
      <c r="J136" s="131">
        <v>1</v>
      </c>
      <c r="K136" s="136">
        <f t="shared" si="15"/>
        <v>600</v>
      </c>
      <c r="L136" s="30"/>
      <c r="M136" s="30"/>
    </row>
    <row r="137" spans="1:13">
      <c r="A137" s="98"/>
      <c r="B137" s="99" t="s">
        <v>300</v>
      </c>
      <c r="C137" s="100" t="s">
        <v>301</v>
      </c>
      <c r="D137" s="101">
        <v>1</v>
      </c>
      <c r="E137" s="102">
        <f>H137*I137*J137</f>
        <v>24800</v>
      </c>
      <c r="F137" s="102">
        <f t="shared" si="14"/>
        <v>24800</v>
      </c>
      <c r="G137" s="103"/>
      <c r="H137" s="133">
        <v>400</v>
      </c>
      <c r="I137" s="134">
        <v>62</v>
      </c>
      <c r="J137" s="135">
        <v>1</v>
      </c>
      <c r="K137" s="136">
        <f t="shared" si="15"/>
        <v>400</v>
      </c>
      <c r="L137" s="30"/>
      <c r="M137" s="30"/>
    </row>
    <row r="138" spans="1:13" ht="15">
      <c r="A138" s="98"/>
      <c r="B138" s="254" t="s">
        <v>245</v>
      </c>
      <c r="C138" s="255"/>
      <c r="D138" s="255"/>
      <c r="E138" s="256"/>
      <c r="F138" s="104">
        <f>SUM(F126:F137)</f>
        <v>366974</v>
      </c>
      <c r="G138" s="103"/>
      <c r="H138" s="137"/>
      <c r="I138" s="137"/>
      <c r="J138" s="138"/>
      <c r="K138" s="139"/>
      <c r="L138" s="30"/>
      <c r="M138" s="30"/>
    </row>
    <row r="139" spans="1:13" ht="15">
      <c r="H139" s="126"/>
      <c r="I139" s="126"/>
      <c r="J139" s="126"/>
      <c r="K139" s="126"/>
      <c r="L139" s="30"/>
      <c r="M139" s="30"/>
    </row>
    <row r="140" spans="1:13" ht="15">
      <c r="A140" s="94"/>
      <c r="B140" s="252" t="s">
        <v>302</v>
      </c>
      <c r="C140" s="253"/>
      <c r="D140" s="95" t="s">
        <v>213</v>
      </c>
      <c r="E140" s="95" t="s">
        <v>2</v>
      </c>
      <c r="F140" s="96" t="s">
        <v>214</v>
      </c>
      <c r="G140" s="97"/>
      <c r="H140" s="127" t="s">
        <v>385</v>
      </c>
      <c r="I140" s="127" t="s">
        <v>386</v>
      </c>
      <c r="J140" s="127" t="s">
        <v>387</v>
      </c>
      <c r="K140" s="127" t="s">
        <v>388</v>
      </c>
      <c r="L140" s="30"/>
      <c r="M140" s="30"/>
    </row>
    <row r="141" spans="1:13" ht="165">
      <c r="A141" s="98"/>
      <c r="B141" s="99" t="s">
        <v>303</v>
      </c>
      <c r="C141" s="100" t="s">
        <v>304</v>
      </c>
      <c r="D141" s="101">
        <v>1</v>
      </c>
      <c r="E141" s="102">
        <f>H141*I141*J141</f>
        <v>160208</v>
      </c>
      <c r="F141" s="102">
        <f>E141*D141</f>
        <v>160208</v>
      </c>
      <c r="G141" s="103"/>
      <c r="H141" s="129">
        <v>1292</v>
      </c>
      <c r="I141" s="130">
        <v>62</v>
      </c>
      <c r="J141" s="131">
        <v>2</v>
      </c>
      <c r="K141" s="132">
        <f>H141*D141</f>
        <v>1292</v>
      </c>
      <c r="L141" s="30"/>
      <c r="M141" s="30"/>
    </row>
    <row r="142" spans="1:13">
      <c r="A142" s="98"/>
      <c r="B142" s="99" t="s">
        <v>305</v>
      </c>
      <c r="C142" s="100" t="s">
        <v>306</v>
      </c>
      <c r="D142" s="101">
        <v>1</v>
      </c>
      <c r="E142" s="102">
        <f>H142*I142*J142</f>
        <v>18104</v>
      </c>
      <c r="F142" s="102">
        <f>E142*D142</f>
        <v>18104</v>
      </c>
      <c r="G142" s="103"/>
      <c r="H142" s="129">
        <v>146</v>
      </c>
      <c r="I142" s="130">
        <v>62</v>
      </c>
      <c r="J142" s="131">
        <v>2</v>
      </c>
      <c r="K142" s="132">
        <f>H142*D142</f>
        <v>146</v>
      </c>
      <c r="L142" s="30"/>
      <c r="M142" s="30"/>
    </row>
    <row r="143" spans="1:13">
      <c r="A143" s="98"/>
      <c r="B143" s="99" t="s">
        <v>307</v>
      </c>
      <c r="C143" s="100" t="s">
        <v>308</v>
      </c>
      <c r="D143" s="101">
        <v>1</v>
      </c>
      <c r="E143" s="102">
        <f>H143*I143*J143</f>
        <v>12152</v>
      </c>
      <c r="F143" s="102">
        <f>E143*D143</f>
        <v>12152</v>
      </c>
      <c r="G143" s="103"/>
      <c r="H143" s="129">
        <v>98</v>
      </c>
      <c r="I143" s="130">
        <v>62</v>
      </c>
      <c r="J143" s="131">
        <v>2</v>
      </c>
      <c r="K143" s="132">
        <f>H143*D143</f>
        <v>98</v>
      </c>
      <c r="L143" s="30"/>
      <c r="M143" s="30"/>
    </row>
    <row r="144" spans="1:13" ht="15">
      <c r="A144" s="98"/>
      <c r="B144" s="99" t="s">
        <v>309</v>
      </c>
      <c r="C144" s="100" t="s">
        <v>310</v>
      </c>
      <c r="D144" s="101">
        <v>1</v>
      </c>
      <c r="E144" s="102">
        <f t="shared" ref="E144:E151" si="16">H144*I144*J144</f>
        <v>1798</v>
      </c>
      <c r="F144" s="102">
        <f t="shared" ref="F144:F151" si="17">E144*D144</f>
        <v>1798</v>
      </c>
      <c r="G144" s="103"/>
      <c r="H144" s="129">
        <v>29</v>
      </c>
      <c r="I144" s="130">
        <v>62</v>
      </c>
      <c r="J144" s="131">
        <v>1</v>
      </c>
      <c r="K144" s="132">
        <f t="shared" ref="K144:K151" si="18">H144*D144</f>
        <v>29</v>
      </c>
      <c r="L144" s="30"/>
      <c r="M144" s="30"/>
    </row>
    <row r="145" spans="1:13" ht="75">
      <c r="A145" s="98"/>
      <c r="B145" s="99" t="s">
        <v>311</v>
      </c>
      <c r="C145" s="100" t="s">
        <v>312</v>
      </c>
      <c r="D145" s="101">
        <v>1</v>
      </c>
      <c r="E145" s="102">
        <f t="shared" si="16"/>
        <v>22940</v>
      </c>
      <c r="F145" s="102">
        <f t="shared" si="17"/>
        <v>22940</v>
      </c>
      <c r="G145" s="103"/>
      <c r="H145" s="129">
        <v>185</v>
      </c>
      <c r="I145" s="130">
        <v>62</v>
      </c>
      <c r="J145" s="131">
        <v>2</v>
      </c>
      <c r="K145" s="132">
        <f t="shared" si="18"/>
        <v>185</v>
      </c>
      <c r="L145" s="30"/>
      <c r="M145" s="30"/>
    </row>
    <row r="146" spans="1:13" ht="45">
      <c r="A146" s="98"/>
      <c r="B146" s="99" t="s">
        <v>313</v>
      </c>
      <c r="C146" s="100" t="s">
        <v>314</v>
      </c>
      <c r="D146" s="101">
        <v>1</v>
      </c>
      <c r="E146" s="102">
        <f t="shared" si="16"/>
        <v>33728</v>
      </c>
      <c r="F146" s="102">
        <f t="shared" si="17"/>
        <v>33728</v>
      </c>
      <c r="G146" s="103"/>
      <c r="H146" s="129">
        <v>272</v>
      </c>
      <c r="I146" s="130">
        <v>62</v>
      </c>
      <c r="J146" s="131">
        <v>2</v>
      </c>
      <c r="K146" s="132">
        <f t="shared" si="18"/>
        <v>272</v>
      </c>
      <c r="L146" s="30"/>
      <c r="M146" s="30"/>
    </row>
    <row r="147" spans="1:13">
      <c r="A147" s="98"/>
      <c r="B147" s="99" t="s">
        <v>315</v>
      </c>
      <c r="C147" s="100" t="s">
        <v>316</v>
      </c>
      <c r="D147" s="101">
        <v>1</v>
      </c>
      <c r="E147" s="102">
        <f t="shared" si="16"/>
        <v>7936</v>
      </c>
      <c r="F147" s="102">
        <f t="shared" si="17"/>
        <v>7936</v>
      </c>
      <c r="G147" s="103"/>
      <c r="H147" s="129">
        <v>64</v>
      </c>
      <c r="I147" s="130">
        <v>62</v>
      </c>
      <c r="J147" s="131">
        <v>2</v>
      </c>
      <c r="K147" s="132">
        <f t="shared" si="18"/>
        <v>64</v>
      </c>
      <c r="L147" s="30"/>
      <c r="M147" s="30"/>
    </row>
    <row r="148" spans="1:13" ht="45">
      <c r="A148" s="98"/>
      <c r="B148" s="99" t="s">
        <v>317</v>
      </c>
      <c r="C148" s="100" t="s">
        <v>318</v>
      </c>
      <c r="D148" s="101">
        <v>1</v>
      </c>
      <c r="E148" s="102">
        <f t="shared" si="16"/>
        <v>9052</v>
      </c>
      <c r="F148" s="102">
        <f t="shared" si="17"/>
        <v>9052</v>
      </c>
      <c r="G148" s="103"/>
      <c r="H148" s="129">
        <v>73</v>
      </c>
      <c r="I148" s="130">
        <v>62</v>
      </c>
      <c r="J148" s="131">
        <v>2</v>
      </c>
      <c r="K148" s="132">
        <f t="shared" si="18"/>
        <v>73</v>
      </c>
      <c r="L148" s="30"/>
      <c r="M148" s="30"/>
    </row>
    <row r="149" spans="1:13" ht="15">
      <c r="A149" s="98"/>
      <c r="B149" s="99" t="s">
        <v>319</v>
      </c>
      <c r="C149" s="100" t="s">
        <v>320</v>
      </c>
      <c r="D149" s="101">
        <v>2</v>
      </c>
      <c r="E149" s="102">
        <f t="shared" si="16"/>
        <v>8060</v>
      </c>
      <c r="F149" s="102">
        <f t="shared" si="17"/>
        <v>16120</v>
      </c>
      <c r="G149" s="103"/>
      <c r="H149" s="129">
        <v>65</v>
      </c>
      <c r="I149" s="130">
        <v>62</v>
      </c>
      <c r="J149" s="131">
        <v>2</v>
      </c>
      <c r="K149" s="132">
        <f t="shared" si="18"/>
        <v>130</v>
      </c>
      <c r="L149" s="30"/>
      <c r="M149" s="30"/>
    </row>
    <row r="150" spans="1:13" ht="15">
      <c r="A150" s="98"/>
      <c r="B150" s="99" t="s">
        <v>321</v>
      </c>
      <c r="C150" s="100" t="s">
        <v>322</v>
      </c>
      <c r="D150" s="101">
        <v>1</v>
      </c>
      <c r="E150" s="102">
        <f t="shared" si="16"/>
        <v>22134</v>
      </c>
      <c r="F150" s="102">
        <f t="shared" si="17"/>
        <v>22134</v>
      </c>
      <c r="G150" s="103"/>
      <c r="H150" s="133">
        <v>238</v>
      </c>
      <c r="I150" s="130">
        <v>62</v>
      </c>
      <c r="J150" s="131">
        <v>1.5</v>
      </c>
      <c r="K150" s="136">
        <f t="shared" si="18"/>
        <v>238</v>
      </c>
      <c r="L150" s="30"/>
      <c r="M150" s="30"/>
    </row>
    <row r="151" spans="1:13" ht="15">
      <c r="A151" s="98"/>
      <c r="B151" s="99" t="s">
        <v>323</v>
      </c>
      <c r="C151" s="100" t="s">
        <v>324</v>
      </c>
      <c r="D151" s="101">
        <v>1</v>
      </c>
      <c r="E151" s="102">
        <f t="shared" si="16"/>
        <v>2356</v>
      </c>
      <c r="F151" s="102">
        <f t="shared" si="17"/>
        <v>2356</v>
      </c>
      <c r="G151" s="103"/>
      <c r="H151" s="133">
        <v>38</v>
      </c>
      <c r="I151" s="130">
        <v>62</v>
      </c>
      <c r="J151" s="131">
        <v>1</v>
      </c>
      <c r="K151" s="136">
        <f t="shared" si="18"/>
        <v>38</v>
      </c>
      <c r="L151" s="30"/>
      <c r="M151" s="30"/>
    </row>
    <row r="152" spans="1:13" ht="15">
      <c r="A152" s="98"/>
      <c r="B152" s="254" t="s">
        <v>245</v>
      </c>
      <c r="C152" s="255"/>
      <c r="D152" s="255"/>
      <c r="E152" s="256"/>
      <c r="F152" s="104">
        <f>SUM(F141:F151)</f>
        <v>306528</v>
      </c>
      <c r="G152" s="103"/>
      <c r="H152" s="137"/>
      <c r="I152" s="137"/>
      <c r="J152" s="138"/>
      <c r="K152" s="139"/>
      <c r="L152" s="30"/>
      <c r="M152" s="30"/>
    </row>
    <row r="153" spans="1:13" ht="15">
      <c r="H153" s="126"/>
      <c r="I153" s="126"/>
      <c r="J153" s="126"/>
      <c r="K153" s="126"/>
      <c r="L153" s="30"/>
      <c r="M153" s="30"/>
    </row>
    <row r="154" spans="1:13" ht="15">
      <c r="A154" s="94"/>
      <c r="B154" s="252" t="s">
        <v>325</v>
      </c>
      <c r="C154" s="253"/>
      <c r="D154" s="95" t="s">
        <v>213</v>
      </c>
      <c r="E154" s="95" t="s">
        <v>2</v>
      </c>
      <c r="F154" s="96" t="s">
        <v>214</v>
      </c>
      <c r="G154" s="97"/>
      <c r="H154" s="127" t="s">
        <v>385</v>
      </c>
      <c r="I154" s="127" t="s">
        <v>386</v>
      </c>
      <c r="J154" s="127" t="s">
        <v>387</v>
      </c>
      <c r="K154" s="127" t="s">
        <v>388</v>
      </c>
      <c r="L154" s="30"/>
      <c r="M154" s="30"/>
    </row>
    <row r="155" spans="1:13" ht="15">
      <c r="A155" s="98"/>
      <c r="B155" s="257" t="s">
        <v>326</v>
      </c>
      <c r="C155" s="258"/>
      <c r="D155" s="101">
        <v>1</v>
      </c>
      <c r="E155" s="102">
        <v>10000</v>
      </c>
      <c r="F155" s="102">
        <f t="shared" ref="F155:F159" si="19">E155*D155</f>
        <v>10000</v>
      </c>
      <c r="G155" s="103"/>
      <c r="H155" s="129">
        <v>64</v>
      </c>
      <c r="I155" s="130">
        <v>62</v>
      </c>
      <c r="J155" s="131">
        <v>2</v>
      </c>
      <c r="K155" s="132">
        <f t="shared" ref="K155:K159" si="20">H155*D155</f>
        <v>64</v>
      </c>
      <c r="L155" s="30"/>
      <c r="M155" s="30"/>
    </row>
    <row r="156" spans="1:13" ht="15">
      <c r="A156" s="98"/>
      <c r="B156" s="257" t="s">
        <v>327</v>
      </c>
      <c r="C156" s="258"/>
      <c r="D156" s="101">
        <v>1</v>
      </c>
      <c r="E156" s="102">
        <v>10000</v>
      </c>
      <c r="F156" s="102">
        <f t="shared" si="19"/>
        <v>10000</v>
      </c>
      <c r="G156" s="103"/>
      <c r="H156" s="129">
        <v>73</v>
      </c>
      <c r="I156" s="130">
        <v>62</v>
      </c>
      <c r="J156" s="131">
        <v>2</v>
      </c>
      <c r="K156" s="132">
        <f t="shared" si="20"/>
        <v>73</v>
      </c>
      <c r="L156" s="30"/>
      <c r="M156" s="30"/>
    </row>
    <row r="157" spans="1:13" ht="15">
      <c r="A157" s="98"/>
      <c r="B157" s="257" t="s">
        <v>328</v>
      </c>
      <c r="C157" s="258"/>
      <c r="D157" s="101">
        <v>2</v>
      </c>
      <c r="E157" s="102">
        <v>5000</v>
      </c>
      <c r="F157" s="102">
        <f t="shared" si="19"/>
        <v>10000</v>
      </c>
      <c r="G157" s="103"/>
      <c r="H157" s="129">
        <v>65</v>
      </c>
      <c r="I157" s="130">
        <v>62</v>
      </c>
      <c r="J157" s="131">
        <v>2</v>
      </c>
      <c r="K157" s="132">
        <f t="shared" si="20"/>
        <v>130</v>
      </c>
      <c r="L157" s="30"/>
      <c r="M157" s="30"/>
    </row>
    <row r="158" spans="1:13" ht="15">
      <c r="A158" s="98"/>
      <c r="B158" s="257" t="s">
        <v>329</v>
      </c>
      <c r="C158" s="258"/>
      <c r="D158" s="101">
        <v>1</v>
      </c>
      <c r="E158" s="102">
        <v>10000</v>
      </c>
      <c r="F158" s="102">
        <f t="shared" si="19"/>
        <v>10000</v>
      </c>
      <c r="G158" s="103"/>
      <c r="H158" s="133">
        <v>238</v>
      </c>
      <c r="I158" s="130">
        <v>62</v>
      </c>
      <c r="J158" s="131">
        <v>1.5</v>
      </c>
      <c r="K158" s="136">
        <f t="shared" si="20"/>
        <v>238</v>
      </c>
      <c r="L158" s="30"/>
      <c r="M158" s="30"/>
    </row>
    <row r="159" spans="1:13" ht="15">
      <c r="A159" s="98"/>
      <c r="B159" s="257" t="s">
        <v>330</v>
      </c>
      <c r="C159" s="258"/>
      <c r="D159" s="101">
        <v>1</v>
      </c>
      <c r="E159" s="102">
        <v>10000</v>
      </c>
      <c r="F159" s="102">
        <f t="shared" si="19"/>
        <v>10000</v>
      </c>
      <c r="G159" s="103"/>
      <c r="H159" s="133">
        <v>38</v>
      </c>
      <c r="I159" s="130">
        <v>62</v>
      </c>
      <c r="J159" s="131">
        <v>1</v>
      </c>
      <c r="K159" s="136">
        <f t="shared" si="20"/>
        <v>38</v>
      </c>
      <c r="L159" s="30"/>
      <c r="M159" s="30"/>
    </row>
    <row r="160" spans="1:13" ht="15">
      <c r="A160" s="98"/>
      <c r="B160" s="254" t="s">
        <v>245</v>
      </c>
      <c r="C160" s="255"/>
      <c r="D160" s="255"/>
      <c r="E160" s="256"/>
      <c r="F160" s="104">
        <f>SUM(F155:F159)</f>
        <v>50000</v>
      </c>
      <c r="G160" s="103"/>
      <c r="H160" s="137"/>
      <c r="I160" s="137"/>
      <c r="J160" s="138"/>
      <c r="K160" s="139"/>
      <c r="L160" s="30"/>
      <c r="M160" s="30"/>
    </row>
    <row r="161" spans="1:13" ht="15">
      <c r="H161" s="126"/>
      <c r="I161" s="126"/>
      <c r="J161" s="126"/>
      <c r="K161" s="126"/>
      <c r="L161" s="30"/>
      <c r="M161" s="30"/>
    </row>
    <row r="162" spans="1:13" ht="15">
      <c r="A162" s="94"/>
      <c r="B162" s="252" t="s">
        <v>331</v>
      </c>
      <c r="C162" s="259"/>
      <c r="D162" s="259"/>
      <c r="E162" s="253"/>
      <c r="F162" s="96"/>
      <c r="G162" s="97"/>
      <c r="H162" s="127" t="s">
        <v>385</v>
      </c>
      <c r="I162" s="127" t="s">
        <v>386</v>
      </c>
      <c r="J162" s="127" t="s">
        <v>387</v>
      </c>
      <c r="K162" s="127" t="s">
        <v>388</v>
      </c>
      <c r="L162" s="30"/>
      <c r="M162" s="30"/>
    </row>
    <row r="163" spans="1:13" ht="15">
      <c r="A163" s="98"/>
      <c r="B163" s="257" t="s">
        <v>332</v>
      </c>
      <c r="C163" s="260"/>
      <c r="D163" s="260"/>
      <c r="E163" s="258"/>
      <c r="F163" s="105"/>
      <c r="G163" s="103"/>
      <c r="H163" s="129">
        <v>64</v>
      </c>
      <c r="I163" s="130">
        <v>62</v>
      </c>
      <c r="J163" s="131">
        <v>2</v>
      </c>
      <c r="K163" s="132">
        <f t="shared" ref="K163" si="21">H163*D163</f>
        <v>0</v>
      </c>
      <c r="L163" s="30"/>
      <c r="M163" s="30"/>
    </row>
    <row r="164" spans="1:13" ht="15">
      <c r="A164" s="98"/>
      <c r="B164" s="254" t="s">
        <v>245</v>
      </c>
      <c r="C164" s="255"/>
      <c r="D164" s="255"/>
      <c r="E164" s="256"/>
      <c r="F164" s="104">
        <v>150000</v>
      </c>
      <c r="G164" s="103"/>
      <c r="H164" s="137"/>
      <c r="I164" s="137"/>
      <c r="J164" s="138"/>
      <c r="K164" s="139"/>
      <c r="L164" s="30"/>
      <c r="M164" s="30"/>
    </row>
    <row r="165" spans="1:13" ht="15">
      <c r="H165" s="126"/>
      <c r="I165" s="126"/>
      <c r="J165" s="126"/>
      <c r="K165" s="126"/>
      <c r="L165" s="30"/>
      <c r="M165" s="30"/>
    </row>
    <row r="166" spans="1:13" ht="15">
      <c r="B166" s="106" t="s">
        <v>245</v>
      </c>
      <c r="C166" s="107"/>
      <c r="D166" s="107"/>
      <c r="E166" s="107"/>
      <c r="F166" s="108">
        <f>SUM(F164,F160,F152,F138,F123,F111,F93,F66,)</f>
        <v>3329458.4000000004</v>
      </c>
      <c r="H166" s="126"/>
      <c r="I166" s="126"/>
      <c r="J166" s="126"/>
      <c r="K166" s="126"/>
      <c r="L166" s="30"/>
      <c r="M166" s="30"/>
    </row>
    <row r="167" spans="1:13" ht="15">
      <c r="H167" s="126"/>
      <c r="I167" s="126"/>
      <c r="J167" s="126"/>
      <c r="K167" s="126"/>
      <c r="L167" s="30"/>
      <c r="M167" s="30"/>
    </row>
    <row r="168" spans="1:13" ht="15">
      <c r="A168" s="94"/>
      <c r="B168" s="252" t="s">
        <v>333</v>
      </c>
      <c r="C168" s="253"/>
      <c r="D168" s="95" t="s">
        <v>213</v>
      </c>
      <c r="E168" s="95" t="s">
        <v>2</v>
      </c>
      <c r="F168" s="96" t="s">
        <v>214</v>
      </c>
      <c r="G168" s="97"/>
      <c r="H168" s="127" t="s">
        <v>385</v>
      </c>
      <c r="I168" s="127" t="s">
        <v>386</v>
      </c>
      <c r="J168" s="127" t="s">
        <v>387</v>
      </c>
      <c r="K168" s="127" t="s">
        <v>388</v>
      </c>
      <c r="L168" s="30"/>
      <c r="M168" s="30"/>
    </row>
    <row r="169" spans="1:13">
      <c r="A169" s="98"/>
      <c r="B169" s="99" t="s">
        <v>334</v>
      </c>
      <c r="C169" s="100" t="s">
        <v>335</v>
      </c>
      <c r="D169" s="101">
        <v>1</v>
      </c>
      <c r="E169" s="102">
        <v>6500</v>
      </c>
      <c r="F169" s="102">
        <f>E169*D169</f>
        <v>6500</v>
      </c>
      <c r="G169" s="103"/>
      <c r="H169" s="129"/>
      <c r="I169" s="130"/>
      <c r="J169" s="131"/>
      <c r="K169" s="132"/>
      <c r="L169" s="30"/>
      <c r="M169" s="30"/>
    </row>
    <row r="170" spans="1:13" ht="15">
      <c r="A170" s="98"/>
      <c r="B170" s="99" t="s">
        <v>336</v>
      </c>
      <c r="C170" s="100" t="s">
        <v>337</v>
      </c>
      <c r="D170" s="101">
        <v>1</v>
      </c>
      <c r="E170" s="102">
        <v>1100</v>
      </c>
      <c r="F170" s="102">
        <f>E170*D170</f>
        <v>1100</v>
      </c>
      <c r="G170" s="103"/>
      <c r="H170" s="129"/>
      <c r="I170" s="130"/>
      <c r="J170" s="131"/>
      <c r="K170" s="132"/>
      <c r="L170" s="30"/>
      <c r="M170" s="30"/>
    </row>
    <row r="171" spans="1:13">
      <c r="A171" s="98"/>
      <c r="B171" s="99" t="s">
        <v>338</v>
      </c>
      <c r="C171" s="100" t="s">
        <v>339</v>
      </c>
      <c r="D171" s="101">
        <v>1</v>
      </c>
      <c r="E171" s="102">
        <v>124</v>
      </c>
      <c r="F171" s="102">
        <f>E171*D171</f>
        <v>124</v>
      </c>
      <c r="G171" s="103"/>
      <c r="H171" s="129"/>
      <c r="I171" s="130"/>
      <c r="J171" s="131"/>
      <c r="K171" s="132"/>
      <c r="L171" s="30"/>
      <c r="M171" s="30"/>
    </row>
    <row r="172" spans="1:13" ht="15">
      <c r="A172" s="98"/>
      <c r="B172" s="99" t="s">
        <v>340</v>
      </c>
      <c r="C172" s="100" t="s">
        <v>341</v>
      </c>
      <c r="D172" s="101">
        <v>1</v>
      </c>
      <c r="E172" s="102">
        <v>223.2</v>
      </c>
      <c r="F172" s="102">
        <f t="shared" ref="F172:F173" si="22">E172*D172</f>
        <v>223.2</v>
      </c>
      <c r="G172" s="103"/>
      <c r="H172" s="129"/>
      <c r="I172" s="130"/>
      <c r="J172" s="131"/>
      <c r="K172" s="132"/>
      <c r="L172" s="30"/>
      <c r="M172" s="30"/>
    </row>
    <row r="173" spans="1:13" ht="15">
      <c r="A173" s="98"/>
      <c r="B173" s="99" t="s">
        <v>342</v>
      </c>
      <c r="C173" s="100" t="s">
        <v>343</v>
      </c>
      <c r="D173" s="101">
        <v>1</v>
      </c>
      <c r="E173" s="102">
        <v>325</v>
      </c>
      <c r="F173" s="102">
        <f t="shared" si="22"/>
        <v>325</v>
      </c>
      <c r="G173" s="103"/>
      <c r="H173" s="129"/>
      <c r="I173" s="130"/>
      <c r="J173" s="131"/>
      <c r="K173" s="132"/>
      <c r="L173" s="30"/>
      <c r="M173" s="30"/>
    </row>
    <row r="174" spans="1:13" ht="15">
      <c r="A174" s="98"/>
      <c r="B174" s="254"/>
      <c r="C174" s="255"/>
      <c r="D174" s="255"/>
      <c r="E174" s="256"/>
      <c r="F174" s="109"/>
      <c r="G174" s="103"/>
      <c r="H174" s="137"/>
      <c r="I174" s="137"/>
      <c r="J174" s="138"/>
      <c r="K174" s="139"/>
      <c r="L174" s="30"/>
      <c r="M174" s="30"/>
    </row>
    <row r="175" spans="1:13" ht="15">
      <c r="H175" s="126"/>
      <c r="I175" s="126"/>
      <c r="J175" s="126"/>
      <c r="K175" s="126"/>
      <c r="L175" s="30"/>
      <c r="M175" s="30"/>
    </row>
    <row r="176" spans="1:13" ht="15">
      <c r="A176" s="94"/>
      <c r="B176" s="252" t="s">
        <v>344</v>
      </c>
      <c r="C176" s="253"/>
      <c r="D176" s="95" t="s">
        <v>213</v>
      </c>
      <c r="E176" s="95" t="s">
        <v>2</v>
      </c>
      <c r="F176" s="96" t="s">
        <v>214</v>
      </c>
      <c r="G176" s="97"/>
      <c r="H176" s="127" t="s">
        <v>385</v>
      </c>
      <c r="I176" s="127" t="s">
        <v>386</v>
      </c>
      <c r="J176" s="127" t="s">
        <v>387</v>
      </c>
      <c r="K176" s="127" t="s">
        <v>388</v>
      </c>
      <c r="L176" s="30"/>
      <c r="M176" s="30"/>
    </row>
    <row r="177" spans="1:13" ht="60">
      <c r="A177" s="98"/>
      <c r="B177" s="99" t="s">
        <v>345</v>
      </c>
      <c r="C177" s="100" t="s">
        <v>346</v>
      </c>
      <c r="D177" s="101">
        <v>1</v>
      </c>
      <c r="E177" s="102">
        <v>70000</v>
      </c>
      <c r="F177" s="102">
        <f>E177*D177</f>
        <v>70000</v>
      </c>
      <c r="G177" s="103"/>
      <c r="H177" s="129"/>
      <c r="I177" s="130"/>
      <c r="J177" s="131"/>
      <c r="K177" s="132"/>
      <c r="L177" s="30"/>
      <c r="M177" s="30"/>
    </row>
    <row r="178" spans="1:13" ht="60">
      <c r="A178" s="98"/>
      <c r="B178" s="99" t="s">
        <v>347</v>
      </c>
      <c r="C178" s="100" t="s">
        <v>346</v>
      </c>
      <c r="D178" s="101">
        <v>1</v>
      </c>
      <c r="E178" s="102">
        <v>100000</v>
      </c>
      <c r="F178" s="102">
        <f>E178*D178</f>
        <v>100000</v>
      </c>
      <c r="G178" s="103"/>
      <c r="H178" s="129"/>
      <c r="I178" s="130"/>
      <c r="J178" s="131"/>
      <c r="K178" s="132"/>
      <c r="L178" s="30"/>
      <c r="M178" s="30"/>
    </row>
    <row r="179" spans="1:13" ht="15">
      <c r="A179" s="98"/>
      <c r="B179" s="254"/>
      <c r="C179" s="255"/>
      <c r="D179" s="255"/>
      <c r="E179" s="256"/>
      <c r="F179" s="109"/>
      <c r="G179" s="103"/>
      <c r="H179" s="137"/>
      <c r="I179" s="137"/>
      <c r="J179" s="138"/>
      <c r="K179" s="139"/>
      <c r="L179" s="30"/>
      <c r="M179" s="30"/>
    </row>
    <row r="180" spans="1:13" ht="15">
      <c r="H180" s="126"/>
      <c r="I180" s="126"/>
      <c r="J180" s="126"/>
      <c r="K180" s="126"/>
      <c r="L180" s="30"/>
      <c r="M180" s="30"/>
    </row>
    <row r="181" spans="1:13" ht="15">
      <c r="B181" s="59" t="s">
        <v>348</v>
      </c>
      <c r="H181" s="126"/>
      <c r="I181" s="126"/>
      <c r="J181" s="126"/>
      <c r="K181" s="126"/>
      <c r="L181" s="30"/>
      <c r="M181" s="30"/>
    </row>
    <row r="182" spans="1:13" ht="15">
      <c r="H182" s="126"/>
      <c r="I182" s="126"/>
      <c r="J182" s="126"/>
      <c r="K182" s="126"/>
      <c r="L182" s="30"/>
      <c r="M182" s="30"/>
    </row>
    <row r="183" spans="1:13" ht="15">
      <c r="A183" s="94"/>
      <c r="B183" s="252" t="s">
        <v>349</v>
      </c>
      <c r="C183" s="253"/>
      <c r="D183" s="95" t="s">
        <v>213</v>
      </c>
      <c r="E183" s="95" t="s">
        <v>2</v>
      </c>
      <c r="F183" s="96" t="s">
        <v>214</v>
      </c>
      <c r="G183" s="97"/>
      <c r="H183" s="127" t="s">
        <v>385</v>
      </c>
      <c r="I183" s="127" t="s">
        <v>386</v>
      </c>
      <c r="J183" s="127" t="s">
        <v>387</v>
      </c>
      <c r="K183" s="127" t="s">
        <v>388</v>
      </c>
      <c r="L183" s="30"/>
      <c r="M183" s="30"/>
    </row>
    <row r="184" spans="1:13" ht="15">
      <c r="A184" s="98"/>
      <c r="B184" s="99" t="s">
        <v>350</v>
      </c>
      <c r="C184" s="100" t="s">
        <v>351</v>
      </c>
      <c r="D184" s="101">
        <v>1</v>
      </c>
      <c r="E184" s="102">
        <f>H184*I184*J184</f>
        <v>854074.8</v>
      </c>
      <c r="F184" s="102">
        <f>E184*D184</f>
        <v>854074.8</v>
      </c>
      <c r="G184" s="103"/>
      <c r="H184" s="129">
        <v>7653</v>
      </c>
      <c r="I184" s="130">
        <v>62</v>
      </c>
      <c r="J184" s="131">
        <v>1.8</v>
      </c>
      <c r="K184" s="132">
        <f>H184*D184</f>
        <v>7653</v>
      </c>
      <c r="L184" s="30"/>
      <c r="M184" s="30"/>
    </row>
    <row r="185" spans="1:13" ht="15">
      <c r="A185" s="98"/>
      <c r="B185" s="99" t="s">
        <v>352</v>
      </c>
      <c r="C185" s="100" t="s">
        <v>353</v>
      </c>
      <c r="D185" s="101">
        <v>1</v>
      </c>
      <c r="E185" s="102">
        <f>H185*I185*J185</f>
        <v>107136</v>
      </c>
      <c r="F185" s="102">
        <f>E185*D185</f>
        <v>107136</v>
      </c>
      <c r="G185" s="103"/>
      <c r="H185" s="129">
        <v>960</v>
      </c>
      <c r="I185" s="130">
        <v>62</v>
      </c>
      <c r="J185" s="131">
        <v>1.8</v>
      </c>
      <c r="K185" s="132">
        <f>H185*D185</f>
        <v>960</v>
      </c>
      <c r="L185" s="30"/>
      <c r="M185" s="30"/>
    </row>
    <row r="186" spans="1:13">
      <c r="A186" s="98"/>
      <c r="B186" s="99" t="s">
        <v>354</v>
      </c>
      <c r="C186" s="100" t="s">
        <v>355</v>
      </c>
      <c r="D186" s="101">
        <v>1</v>
      </c>
      <c r="E186" s="102">
        <f>H186*I186*J186</f>
        <v>84816</v>
      </c>
      <c r="F186" s="102">
        <f>E186*D186</f>
        <v>84816</v>
      </c>
      <c r="G186" s="103"/>
      <c r="H186" s="129">
        <v>760</v>
      </c>
      <c r="I186" s="130">
        <v>62</v>
      </c>
      <c r="J186" s="131">
        <v>1.8</v>
      </c>
      <c r="K186" s="132">
        <f>H186*D186</f>
        <v>760</v>
      </c>
      <c r="L186" s="30"/>
      <c r="M186" s="30"/>
    </row>
    <row r="187" spans="1:13">
      <c r="A187" s="98"/>
      <c r="B187" s="99" t="s">
        <v>356</v>
      </c>
      <c r="C187" s="100" t="s">
        <v>357</v>
      </c>
      <c r="D187" s="101">
        <v>1</v>
      </c>
      <c r="E187" s="102">
        <f t="shared" ref="E187:E190" si="23">H187*I187*J187</f>
        <v>209808</v>
      </c>
      <c r="F187" s="102">
        <f t="shared" ref="F187:F190" si="24">E187*D187</f>
        <v>209808</v>
      </c>
      <c r="G187" s="103"/>
      <c r="H187" s="129">
        <v>1880</v>
      </c>
      <c r="I187" s="130">
        <v>62</v>
      </c>
      <c r="J187" s="131">
        <v>1.8</v>
      </c>
      <c r="K187" s="132">
        <f t="shared" ref="K187:K190" si="25">H187*D187</f>
        <v>1880</v>
      </c>
      <c r="L187" s="30"/>
      <c r="M187" s="30"/>
    </row>
    <row r="188" spans="1:13" ht="15">
      <c r="A188" s="98"/>
      <c r="B188" s="99" t="s">
        <v>358</v>
      </c>
      <c r="C188" s="100" t="s">
        <v>359</v>
      </c>
      <c r="D188" s="101">
        <v>1</v>
      </c>
      <c r="E188" s="102">
        <f t="shared" si="23"/>
        <v>84927.6</v>
      </c>
      <c r="F188" s="102">
        <f t="shared" si="24"/>
        <v>84927.6</v>
      </c>
      <c r="G188" s="103"/>
      <c r="H188" s="129">
        <v>761</v>
      </c>
      <c r="I188" s="130">
        <v>62</v>
      </c>
      <c r="J188" s="131">
        <v>1.8</v>
      </c>
      <c r="K188" s="132">
        <f t="shared" si="25"/>
        <v>761</v>
      </c>
      <c r="L188" s="30"/>
      <c r="M188" s="30"/>
    </row>
    <row r="189" spans="1:13">
      <c r="A189" s="98"/>
      <c r="B189" s="99" t="s">
        <v>360</v>
      </c>
      <c r="C189" s="100" t="s">
        <v>361</v>
      </c>
      <c r="D189" s="101">
        <v>1</v>
      </c>
      <c r="E189" s="102">
        <f t="shared" si="23"/>
        <v>112716</v>
      </c>
      <c r="F189" s="102">
        <f t="shared" si="24"/>
        <v>112716</v>
      </c>
      <c r="G189" s="103"/>
      <c r="H189" s="129">
        <v>1010</v>
      </c>
      <c r="I189" s="130">
        <v>62</v>
      </c>
      <c r="J189" s="131">
        <v>1.8</v>
      </c>
      <c r="K189" s="132">
        <f t="shared" si="25"/>
        <v>1010</v>
      </c>
      <c r="L189" s="30"/>
      <c r="M189" s="30"/>
    </row>
    <row r="190" spans="1:13" ht="15">
      <c r="A190" s="98"/>
      <c r="B190" s="99" t="s">
        <v>362</v>
      </c>
      <c r="C190" s="100" t="s">
        <v>363</v>
      </c>
      <c r="D190" s="101">
        <v>1</v>
      </c>
      <c r="E190" s="102">
        <f t="shared" si="23"/>
        <v>47541.599999999999</v>
      </c>
      <c r="F190" s="102">
        <f t="shared" si="24"/>
        <v>47541.599999999999</v>
      </c>
      <c r="G190" s="103"/>
      <c r="H190" s="129">
        <v>426</v>
      </c>
      <c r="I190" s="130">
        <v>62</v>
      </c>
      <c r="J190" s="131">
        <v>1.8</v>
      </c>
      <c r="K190" s="132">
        <f t="shared" si="25"/>
        <v>426</v>
      </c>
      <c r="L190" s="30"/>
      <c r="M190" s="30"/>
    </row>
    <row r="191" spans="1:13" ht="15">
      <c r="A191" s="98"/>
      <c r="B191" s="254" t="s">
        <v>245</v>
      </c>
      <c r="C191" s="255"/>
      <c r="D191" s="255"/>
      <c r="E191" s="256"/>
      <c r="F191" s="104">
        <f>SUM(F184:F190)</f>
        <v>1501020.0000000002</v>
      </c>
      <c r="G191" s="103"/>
      <c r="H191" s="137"/>
      <c r="I191" s="137"/>
      <c r="J191" s="138"/>
      <c r="K191" s="139"/>
      <c r="L191" s="30"/>
      <c r="M191" s="30"/>
    </row>
    <row r="192" spans="1:13" ht="15">
      <c r="H192" s="126"/>
      <c r="I192" s="126"/>
      <c r="J192" s="126"/>
      <c r="K192" s="126"/>
      <c r="L192" s="30"/>
      <c r="M192" s="30"/>
    </row>
    <row r="193" spans="1:13" ht="15">
      <c r="A193" s="94"/>
      <c r="B193" s="252" t="s">
        <v>364</v>
      </c>
      <c r="C193" s="253"/>
      <c r="D193" s="95" t="s">
        <v>213</v>
      </c>
      <c r="E193" s="95" t="s">
        <v>2</v>
      </c>
      <c r="F193" s="96" t="s">
        <v>214</v>
      </c>
      <c r="G193" s="97"/>
      <c r="H193" s="127" t="s">
        <v>385</v>
      </c>
      <c r="I193" s="127" t="s">
        <v>386</v>
      </c>
      <c r="J193" s="127" t="s">
        <v>387</v>
      </c>
      <c r="K193" s="127" t="s">
        <v>388</v>
      </c>
      <c r="L193" s="30"/>
      <c r="M193" s="30"/>
    </row>
    <row r="194" spans="1:13">
      <c r="A194" s="98"/>
      <c r="B194" s="99" t="s">
        <v>365</v>
      </c>
      <c r="C194" s="100" t="s">
        <v>366</v>
      </c>
      <c r="D194" s="101">
        <v>1</v>
      </c>
      <c r="E194" s="102">
        <f>H194*I194*J194</f>
        <v>62496</v>
      </c>
      <c r="F194" s="102">
        <f>E194*D194</f>
        <v>62496</v>
      </c>
      <c r="G194" s="103"/>
      <c r="H194" s="129">
        <v>560</v>
      </c>
      <c r="I194" s="130">
        <v>62</v>
      </c>
      <c r="J194" s="131">
        <v>1.8</v>
      </c>
      <c r="K194" s="132">
        <f>H194*D194</f>
        <v>560</v>
      </c>
      <c r="L194" s="30"/>
      <c r="M194" s="30"/>
    </row>
    <row r="195" spans="1:13">
      <c r="A195" s="98"/>
      <c r="B195" s="99" t="s">
        <v>367</v>
      </c>
      <c r="C195" s="100" t="s">
        <v>368</v>
      </c>
      <c r="D195" s="101">
        <v>1</v>
      </c>
      <c r="E195" s="102">
        <f>H195*I195*J195</f>
        <v>72540</v>
      </c>
      <c r="F195" s="102">
        <f>E195*D195</f>
        <v>72540</v>
      </c>
      <c r="G195" s="103"/>
      <c r="H195" s="129">
        <v>650</v>
      </c>
      <c r="I195" s="130">
        <v>62</v>
      </c>
      <c r="J195" s="131">
        <v>1.8</v>
      </c>
      <c r="K195" s="132">
        <f>H195*D195</f>
        <v>650</v>
      </c>
      <c r="L195" s="30"/>
      <c r="M195" s="30"/>
    </row>
    <row r="196" spans="1:13">
      <c r="A196" s="98"/>
      <c r="B196" s="99" t="s">
        <v>369</v>
      </c>
      <c r="C196" s="100" t="s">
        <v>370</v>
      </c>
      <c r="D196" s="101">
        <v>1</v>
      </c>
      <c r="E196" s="102">
        <f>H196*I196*J196</f>
        <v>311364</v>
      </c>
      <c r="F196" s="102">
        <f>E196*D196</f>
        <v>311364</v>
      </c>
      <c r="G196" s="103"/>
      <c r="H196" s="129">
        <v>2790</v>
      </c>
      <c r="I196" s="130">
        <v>62</v>
      </c>
      <c r="J196" s="131">
        <v>1.8</v>
      </c>
      <c r="K196" s="132">
        <f>H196*D196</f>
        <v>2790</v>
      </c>
      <c r="L196" s="30"/>
      <c r="M196" s="30"/>
    </row>
    <row r="197" spans="1:13" ht="15">
      <c r="A197" s="98"/>
      <c r="B197" s="254" t="s">
        <v>245</v>
      </c>
      <c r="C197" s="255"/>
      <c r="D197" s="255"/>
      <c r="E197" s="256"/>
      <c r="F197" s="104">
        <f>SUM(F194:F196)</f>
        <v>446400</v>
      </c>
      <c r="G197" s="103"/>
      <c r="H197" s="137"/>
      <c r="I197" s="137"/>
      <c r="J197" s="138"/>
      <c r="K197" s="139"/>
      <c r="L197" s="30"/>
      <c r="M197" s="30"/>
    </row>
    <row r="198" spans="1:13" ht="15">
      <c r="H198" s="126"/>
      <c r="I198" s="126"/>
      <c r="J198" s="126"/>
      <c r="K198" s="126"/>
      <c r="L198" s="30"/>
      <c r="M198" s="30"/>
    </row>
    <row r="199" spans="1:13" ht="15">
      <c r="B199" s="30" t="s">
        <v>371</v>
      </c>
      <c r="H199" s="126"/>
      <c r="I199" s="126"/>
      <c r="J199" s="126"/>
      <c r="K199" s="126"/>
      <c r="L199" s="30"/>
      <c r="M199" s="30"/>
    </row>
    <row r="200" spans="1:13" ht="15">
      <c r="H200" s="126"/>
      <c r="I200" s="126"/>
      <c r="J200" s="126"/>
      <c r="K200" s="126"/>
      <c r="L200" s="30"/>
      <c r="M200" s="30"/>
    </row>
    <row r="201" spans="1:13" ht="15">
      <c r="A201" s="94"/>
      <c r="B201" s="252" t="s">
        <v>372</v>
      </c>
      <c r="C201" s="253"/>
      <c r="D201" s="95" t="s">
        <v>213</v>
      </c>
      <c r="E201" s="95" t="s">
        <v>2</v>
      </c>
      <c r="F201" s="96" t="s">
        <v>214</v>
      </c>
      <c r="G201" s="97"/>
      <c r="H201" s="127" t="s">
        <v>385</v>
      </c>
      <c r="I201" s="127" t="s">
        <v>386</v>
      </c>
      <c r="J201" s="127" t="s">
        <v>387</v>
      </c>
      <c r="K201" s="127" t="s">
        <v>388</v>
      </c>
      <c r="L201" s="30"/>
      <c r="M201" s="30"/>
    </row>
    <row r="202" spans="1:13" ht="135">
      <c r="A202" s="98"/>
      <c r="B202" s="99" t="s">
        <v>373</v>
      </c>
      <c r="C202" s="100" t="s">
        <v>374</v>
      </c>
      <c r="D202" s="101">
        <v>1</v>
      </c>
      <c r="E202" s="102">
        <f>H202*I202*J202</f>
        <v>236034</v>
      </c>
      <c r="F202" s="102">
        <f>E202*D202</f>
        <v>236034</v>
      </c>
      <c r="G202" s="103"/>
      <c r="H202" s="129">
        <v>2115</v>
      </c>
      <c r="I202" s="130">
        <v>62</v>
      </c>
      <c r="J202" s="131">
        <v>1.8</v>
      </c>
      <c r="K202" s="132">
        <f>H202*D202</f>
        <v>2115</v>
      </c>
      <c r="L202" s="30"/>
      <c r="M202" s="30"/>
    </row>
    <row r="203" spans="1:13" ht="180">
      <c r="A203" s="98"/>
      <c r="B203" s="99" t="s">
        <v>375</v>
      </c>
      <c r="C203" s="100" t="s">
        <v>376</v>
      </c>
      <c r="D203" s="101">
        <v>1</v>
      </c>
      <c r="E203" s="102">
        <f>H203*I203*J203</f>
        <v>424080</v>
      </c>
      <c r="F203" s="102">
        <f>E203*D203</f>
        <v>424080</v>
      </c>
      <c r="G203" s="103"/>
      <c r="H203" s="129">
        <v>3800</v>
      </c>
      <c r="I203" s="130">
        <v>62</v>
      </c>
      <c r="J203" s="131">
        <v>1.8</v>
      </c>
      <c r="K203" s="132">
        <f>H203*D203</f>
        <v>3800</v>
      </c>
      <c r="L203" s="30"/>
      <c r="M203" s="30"/>
    </row>
    <row r="204" spans="1:13">
      <c r="A204" s="98"/>
      <c r="B204" s="99" t="s">
        <v>377</v>
      </c>
      <c r="C204" s="100" t="s">
        <v>378</v>
      </c>
      <c r="D204" s="101">
        <v>2</v>
      </c>
      <c r="E204" s="102">
        <f>H204*I204*J204</f>
        <v>89094</v>
      </c>
      <c r="F204" s="102">
        <f>E204*D204</f>
        <v>178188</v>
      </c>
      <c r="G204" s="103"/>
      <c r="H204" s="129">
        <v>958</v>
      </c>
      <c r="I204" s="130">
        <v>62</v>
      </c>
      <c r="J204" s="131">
        <v>1.5</v>
      </c>
      <c r="K204" s="132">
        <f>H204*D204</f>
        <v>1916</v>
      </c>
      <c r="L204" s="30"/>
      <c r="M204" s="30"/>
    </row>
    <row r="205" spans="1:13" ht="15">
      <c r="A205" s="98"/>
      <c r="B205" s="99" t="s">
        <v>379</v>
      </c>
      <c r="C205" s="100" t="s">
        <v>380</v>
      </c>
      <c r="D205" s="101">
        <v>2</v>
      </c>
      <c r="E205" s="102">
        <f t="shared" ref="E205:E206" si="26">H205*I205*J205</f>
        <v>3906</v>
      </c>
      <c r="F205" s="102">
        <f t="shared" ref="F205:F206" si="27">E205*D205</f>
        <v>7812</v>
      </c>
      <c r="G205" s="103"/>
      <c r="H205" s="129">
        <v>35</v>
      </c>
      <c r="I205" s="130">
        <v>62</v>
      </c>
      <c r="J205" s="131">
        <v>1.8</v>
      </c>
      <c r="K205" s="132">
        <f t="shared" ref="K205:K206" si="28">H205*D205</f>
        <v>70</v>
      </c>
      <c r="L205" s="30"/>
      <c r="M205" s="30"/>
    </row>
    <row r="206" spans="1:13" ht="15">
      <c r="A206" s="98"/>
      <c r="B206" s="99" t="s">
        <v>381</v>
      </c>
      <c r="C206" s="100" t="s">
        <v>382</v>
      </c>
      <c r="D206" s="101">
        <v>2</v>
      </c>
      <c r="E206" s="102">
        <f t="shared" si="26"/>
        <v>30355.200000000001</v>
      </c>
      <c r="F206" s="102">
        <f t="shared" si="27"/>
        <v>60710.400000000001</v>
      </c>
      <c r="G206" s="103"/>
      <c r="H206" s="129">
        <v>272</v>
      </c>
      <c r="I206" s="130">
        <v>62</v>
      </c>
      <c r="J206" s="131">
        <v>1.8</v>
      </c>
      <c r="K206" s="132">
        <f t="shared" si="28"/>
        <v>544</v>
      </c>
      <c r="L206" s="30"/>
      <c r="M206" s="30"/>
    </row>
    <row r="207" spans="1:13" ht="15">
      <c r="A207" s="98"/>
      <c r="B207" s="254" t="s">
        <v>245</v>
      </c>
      <c r="C207" s="255"/>
      <c r="D207" s="255"/>
      <c r="E207" s="256"/>
      <c r="F207" s="104">
        <f>SUM(F202:F206)</f>
        <v>906824.4</v>
      </c>
      <c r="G207" s="103"/>
      <c r="H207" s="137"/>
      <c r="I207" s="137"/>
      <c r="J207" s="138"/>
      <c r="K207" s="139"/>
      <c r="L207" s="30"/>
      <c r="M207" s="30"/>
    </row>
    <row r="208" spans="1:13" ht="15">
      <c r="H208" s="126"/>
      <c r="I208" s="126"/>
      <c r="J208" s="126"/>
      <c r="K208" s="126"/>
      <c r="L208" s="30"/>
      <c r="M208" s="30"/>
    </row>
    <row r="209" spans="1:13" ht="15">
      <c r="A209" s="94"/>
      <c r="B209" s="252" t="s">
        <v>383</v>
      </c>
      <c r="C209" s="253"/>
      <c r="D209" s="95" t="s">
        <v>213</v>
      </c>
      <c r="E209" s="95" t="s">
        <v>2</v>
      </c>
      <c r="F209" s="96" t="s">
        <v>214</v>
      </c>
      <c r="G209" s="97"/>
      <c r="H209" s="127" t="s">
        <v>385</v>
      </c>
      <c r="I209" s="127" t="s">
        <v>386</v>
      </c>
      <c r="J209" s="127" t="s">
        <v>387</v>
      </c>
      <c r="K209" s="127" t="s">
        <v>388</v>
      </c>
      <c r="L209" s="30"/>
      <c r="M209" s="30"/>
    </row>
    <row r="210" spans="1:13" ht="15">
      <c r="A210" s="98"/>
      <c r="B210" s="99" t="s">
        <v>237</v>
      </c>
      <c r="C210" s="100" t="s">
        <v>238</v>
      </c>
      <c r="D210" s="101">
        <v>2</v>
      </c>
      <c r="E210" s="102">
        <f t="shared" ref="E210:E211" si="29">H210*I210*J210</f>
        <v>128786.40000000001</v>
      </c>
      <c r="F210" s="102">
        <f t="shared" ref="F210:F211" si="30">E210*D210</f>
        <v>257572.80000000002</v>
      </c>
      <c r="G210" s="103"/>
      <c r="H210" s="129">
        <v>1154</v>
      </c>
      <c r="I210" s="130">
        <v>62</v>
      </c>
      <c r="J210" s="131">
        <v>1.8</v>
      </c>
      <c r="K210" s="132">
        <f t="shared" ref="K210:K211" si="31">H210*D210</f>
        <v>2308</v>
      </c>
      <c r="L210" s="30"/>
      <c r="M210" s="30"/>
    </row>
    <row r="211" spans="1:13">
      <c r="A211" s="98"/>
      <c r="B211" s="99" t="s">
        <v>239</v>
      </c>
      <c r="C211" s="100" t="s">
        <v>240</v>
      </c>
      <c r="D211" s="101">
        <v>2</v>
      </c>
      <c r="E211" s="102">
        <f t="shared" si="29"/>
        <v>14284.800000000001</v>
      </c>
      <c r="F211" s="102">
        <f t="shared" si="30"/>
        <v>28569.600000000002</v>
      </c>
      <c r="G211" s="103"/>
      <c r="H211" s="129">
        <v>128</v>
      </c>
      <c r="I211" s="130">
        <v>62</v>
      </c>
      <c r="J211" s="131">
        <v>1.8</v>
      </c>
      <c r="K211" s="132">
        <f t="shared" si="31"/>
        <v>256</v>
      </c>
      <c r="L211" s="30"/>
      <c r="M211" s="30"/>
    </row>
    <row r="212" spans="1:13" ht="15">
      <c r="A212" s="98"/>
      <c r="B212" s="254" t="s">
        <v>245</v>
      </c>
      <c r="C212" s="255"/>
      <c r="D212" s="255"/>
      <c r="E212" s="256"/>
      <c r="F212" s="104">
        <f>SUM(F210:F211)</f>
        <v>286142.40000000002</v>
      </c>
      <c r="G212" s="103"/>
      <c r="H212" s="137"/>
      <c r="I212" s="137"/>
      <c r="J212" s="138"/>
      <c r="K212" s="139"/>
      <c r="L212" s="30"/>
      <c r="M212" s="30"/>
    </row>
    <row r="213" spans="1:13" ht="15"/>
  </sheetData>
  <sheetProtection algorithmName="SHA-512" hashValue="p/Y7e9/R/8WLfKmcikH3DLnEwTp8lTTwRy3snKr/LOWQWaOnEYXKCk2P64vpqjNlAKjL1xuNyYWRr+xGA7ea9Q==" saltValue="JJrdJPHAaBaU64jmb7y3IQ==" spinCount="100000" sheet="1" objects="1" scenarios="1"/>
  <dataConsolidate/>
  <mergeCells count="53">
    <mergeCell ref="B207:E207"/>
    <mergeCell ref="B209:C209"/>
    <mergeCell ref="B212:E212"/>
    <mergeCell ref="I30:J30"/>
    <mergeCell ref="I31:J31"/>
    <mergeCell ref="B183:C183"/>
    <mergeCell ref="B191:E191"/>
    <mergeCell ref="B193:C193"/>
    <mergeCell ref="B197:E197"/>
    <mergeCell ref="B201:C201"/>
    <mergeCell ref="B164:E164"/>
    <mergeCell ref="B168:C168"/>
    <mergeCell ref="B174:E174"/>
    <mergeCell ref="B176:C176"/>
    <mergeCell ref="B179:E179"/>
    <mergeCell ref="B158:C158"/>
    <mergeCell ref="B163:E163"/>
    <mergeCell ref="B152:E152"/>
    <mergeCell ref="B154:C154"/>
    <mergeCell ref="B155:C155"/>
    <mergeCell ref="B156:C156"/>
    <mergeCell ref="B157:C157"/>
    <mergeCell ref="B138:E138"/>
    <mergeCell ref="B140:C140"/>
    <mergeCell ref="B159:C159"/>
    <mergeCell ref="B160:E160"/>
    <mergeCell ref="B162:E162"/>
    <mergeCell ref="B95:C95"/>
    <mergeCell ref="B111:E111"/>
    <mergeCell ref="B113:C113"/>
    <mergeCell ref="B123:E123"/>
    <mergeCell ref="B125:C125"/>
    <mergeCell ref="D42:F42"/>
    <mergeCell ref="B50:C50"/>
    <mergeCell ref="B66:E66"/>
    <mergeCell ref="B68:C68"/>
    <mergeCell ref="B93:E93"/>
    <mergeCell ref="I33:J33"/>
    <mergeCell ref="I29:J29"/>
    <mergeCell ref="H11:K28"/>
    <mergeCell ref="B1:D1"/>
    <mergeCell ref="B3:D3"/>
    <mergeCell ref="B2:D2"/>
    <mergeCell ref="I10:J10"/>
    <mergeCell ref="H6:J7"/>
    <mergeCell ref="E3:F3"/>
    <mergeCell ref="H5:J5"/>
    <mergeCell ref="B4:D4"/>
    <mergeCell ref="C6:D6"/>
    <mergeCell ref="C7:D7"/>
    <mergeCell ref="C8:D8"/>
    <mergeCell ref="C9:D9"/>
    <mergeCell ref="B10:F10"/>
  </mergeCells>
  <phoneticPr fontId="1" type="noConversion"/>
  <conditionalFormatting sqref="D51:D65 D69:D92 D96:D110 D114:D122 D155:D159">
    <cfRule type="cellIs" dxfId="56" priority="9" operator="equal">
      <formula>0</formula>
    </cfRule>
  </conditionalFormatting>
  <conditionalFormatting sqref="D126:D137">
    <cfRule type="cellIs" dxfId="55" priority="8" operator="equal">
      <formula>0</formula>
    </cfRule>
  </conditionalFormatting>
  <conditionalFormatting sqref="D141:D151">
    <cfRule type="cellIs" dxfId="54" priority="7" operator="equal">
      <formula>0</formula>
    </cfRule>
  </conditionalFormatting>
  <conditionalFormatting sqref="D169:D173">
    <cfRule type="cellIs" dxfId="53" priority="6" operator="equal">
      <formula>0</formula>
    </cfRule>
  </conditionalFormatting>
  <conditionalFormatting sqref="D177:D178">
    <cfRule type="cellIs" dxfId="52" priority="5" operator="equal">
      <formula>0</formula>
    </cfRule>
  </conditionalFormatting>
  <conditionalFormatting sqref="D184:D190">
    <cfRule type="cellIs" dxfId="51" priority="4" operator="equal">
      <formula>0</formula>
    </cfRule>
  </conditionalFormatting>
  <conditionalFormatting sqref="D194:D196">
    <cfRule type="cellIs" dxfId="50" priority="3" operator="equal">
      <formula>0</formula>
    </cfRule>
  </conditionalFormatting>
  <conditionalFormatting sqref="D202:D206">
    <cfRule type="cellIs" dxfId="49" priority="2" operator="equal">
      <formula>0</formula>
    </cfRule>
  </conditionalFormatting>
  <conditionalFormatting sqref="D210:D211">
    <cfRule type="cellIs" dxfId="48" priority="1" operator="equal">
      <formula>0</formula>
    </cfRule>
  </conditionalFormatting>
  <dataValidations xWindow="324" yWindow="474" count="28">
    <dataValidation allowBlank="1" showInputMessage="1" showErrorMessage="1" prompt="Enter company Phone and Fax numbers in this cell" sqref="B3:C3"/>
    <dataValidation allowBlank="1" showInputMessage="1" showErrorMessage="1" prompt="Enter customer Name, Company Name, Street Address, and Phone number in cells below, from cell B8 through B12, Quotation end date in cell G7 and Prepared by name in cell G8" sqref="B4:C4"/>
    <dataValidation allowBlank="1" showInputMessage="1" showErrorMessage="1" prompt="Enter Comments or Special Instructions in cell at right" sqref="B10"/>
    <dataValidation allowBlank="1" showInputMessage="1" showErrorMessage="1" prompt="Enter Quantity in this column under this heading" sqref="B11"/>
    <dataValidation allowBlank="1" showInputMessage="1" showErrorMessage="1" prompt="Enter Description in this column under this heading" sqref="C11"/>
    <dataValidation allowBlank="1" showInputMessage="1" showErrorMessage="1" prompt="Enter Unit Price in this column under this heading" sqref="D11"/>
    <dataValidation allowBlank="1" showInputMessage="1" showErrorMessage="1" prompt="Amount is automatically calculated in this column under this heading and Subtotal is automatically calculated at the end of the table" sqref="F11"/>
    <dataValidation allowBlank="1" showInputMessage="1" showErrorMessage="1" prompt="Enter 'T' for taxable items in this column under this heading" sqref="E11"/>
    <dataValidation allowBlank="1" showInputMessage="1" showErrorMessage="1" prompt="Create a Price quote with tax calculation in this worksheet. Enter company, customer, quotation, shipping, and product details. Total due is automatically calculated" sqref="A1"/>
    <dataValidation allowBlank="1" showInputMessage="1" showErrorMessage="1" prompt="Total due is automatically calculated in cell at right" sqref="E33:E34"/>
    <dataValidation allowBlank="1" showInputMessage="1" showErrorMessage="1" prompt="Total due is automatically calculated in this cell" sqref="F31:F32"/>
    <dataValidation allowBlank="1" showInputMessage="1" showErrorMessage="1" prompt="Enter Other amount in cell at right" sqref="E32"/>
    <dataValidation allowBlank="1" showInputMessage="1" showErrorMessage="1" prompt="Sales Tax amount is automatically calculated in cell at right" sqref="E31"/>
    <dataValidation allowBlank="1" showInputMessage="1" showErrorMessage="1" prompt="Enter Tax Rate in cell at right" sqref="E30"/>
    <dataValidation allowBlank="1" showInputMessage="1" showErrorMessage="1" prompt="Enter Tax Rate in this cell" sqref="F30"/>
    <dataValidation allowBlank="1" showInputMessage="1" showErrorMessage="1" prompt="Enter Prepared by name in this cell" sqref="F5:F6 F8"/>
    <dataValidation allowBlank="1" showInputMessage="1" showErrorMessage="1" prompt="Enter Quotation end date in this cell" sqref="F4"/>
    <dataValidation allowBlank="1" showInputMessage="1" showErrorMessage="1" prompt="Enter Quotation number in this cell" sqref="F2"/>
    <dataValidation allowBlank="1" showInputMessage="1" showErrorMessage="1" prompt="Enter Prepared by name in cell at right" sqref="E5"/>
    <dataValidation allowBlank="1" showInputMessage="1" showErrorMessage="1" prompt="Enter Quotation end date in cell at right" sqref="E4"/>
    <dataValidation allowBlank="1" showInputMessage="1" showErrorMessage="1" prompt="Enter Company Name in this cell and slogan in cell below. Quotation title is in cell at right" sqref="B1:D1"/>
    <dataValidation allowBlank="1" showInputMessage="1" showErrorMessage="1" prompt="Enter company Street Address in this cell" sqref="B2"/>
    <dataValidation allowBlank="1" showInputMessage="1" showErrorMessage="1" prompt="Enter customer Name in this cell" sqref="B8:C8"/>
    <dataValidation allowBlank="1" showInputMessage="1" showErrorMessage="1" prompt="Enter customer Company Name in this cell" sqref="B9:C9"/>
    <dataValidation allowBlank="1" showInputMessage="1" showErrorMessage="1" prompt="Enter customer Street Address in this cell" sqref="B5:C5"/>
    <dataValidation allowBlank="1" showInputMessage="1" showErrorMessage="1" prompt="Enter customer City, State, and Zip Code in this cell" sqref="B7:C7"/>
    <dataValidation allowBlank="1" showInputMessage="1" showErrorMessage="1" prompt="Enter customer Phone number in this cell" sqref="B6:C6"/>
    <dataValidation allowBlank="1" showInputMessage="1" showErrorMessage="1" prompt="Append company Contact Name, Phone Number, and Email address in this cell" sqref="B40:D40 F40"/>
  </dataValidations>
  <printOptions horizontalCentered="1"/>
  <pageMargins left="0.7" right="0.7" top="0.75" bottom="0.75" header="0.3" footer="0.3"/>
  <pageSetup scale="77" fitToHeight="0" orientation="portrait" r:id="rId1"/>
  <headerFooter differentFirst="1">
    <oddFooter>Page &amp;P of &amp;N</oddFooter>
  </headerFooter>
  <rowBreaks count="1" manualBreakCount="1">
    <brk id="43" max="6" man="1"/>
  </rowBreaks>
  <drawing r:id="rId2"/>
  <legacyDrawing r:id="rId3"/>
  <controls>
    <mc:AlternateContent xmlns:mc="http://schemas.openxmlformats.org/markup-compatibility/2006">
      <mc:Choice Requires="x14">
        <control shapeId="1032" r:id="rId4" name="cmdSendtoDash">
          <controlPr defaultSize="0" autoLine="0" r:id="rId5">
            <anchor moveWithCells="1">
              <from>
                <xdr:col>7</xdr:col>
                <xdr:colOff>304800</xdr:colOff>
                <xdr:row>2</xdr:row>
                <xdr:rowOff>180975</xdr:rowOff>
              </from>
              <to>
                <xdr:col>9</xdr:col>
                <xdr:colOff>361950</xdr:colOff>
                <xdr:row>3</xdr:row>
                <xdr:rowOff>123825</xdr:rowOff>
              </to>
            </anchor>
          </controlPr>
        </control>
      </mc:Choice>
      <mc:Fallback>
        <control shapeId="1032" r:id="rId4" name="cmdSendtoDash"/>
      </mc:Fallback>
    </mc:AlternateContent>
    <mc:AlternateContent xmlns:mc="http://schemas.openxmlformats.org/markup-compatibility/2006">
      <mc:Choice Requires="x14">
        <control shapeId="1039" r:id="rId6" name="cmdRevise">
          <controlPr defaultSize="0" disabled="1" autoLine="0" r:id="rId7">
            <anchor moveWithCells="1">
              <from>
                <xdr:col>7</xdr:col>
                <xdr:colOff>304800</xdr:colOff>
                <xdr:row>6</xdr:row>
                <xdr:rowOff>390525</xdr:rowOff>
              </from>
              <to>
                <xdr:col>9</xdr:col>
                <xdr:colOff>361950</xdr:colOff>
                <xdr:row>8</xdr:row>
                <xdr:rowOff>28575</xdr:rowOff>
              </to>
            </anchor>
          </controlPr>
        </control>
      </mc:Choice>
      <mc:Fallback>
        <control shapeId="1039" r:id="rId6" name="cmdRevise"/>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6"/>
    <pageSetUpPr fitToPage="1"/>
  </sheetPr>
  <dimension ref="A1:M231"/>
  <sheetViews>
    <sheetView showGridLines="0" topLeftCell="A7" zoomScale="75" zoomScaleNormal="75" zoomScaleSheetLayoutView="100" zoomScalePageLayoutView="55" workbookViewId="0">
      <selection activeCell="C19" sqref="C19"/>
    </sheetView>
  </sheetViews>
  <sheetFormatPr defaultRowHeight="30" customHeight="1"/>
  <cols>
    <col min="1" max="1" width="2.125" style="30" customWidth="1"/>
    <col min="2" max="2" width="19.5" style="30" customWidth="1"/>
    <col min="3" max="3" width="37.125" style="30" customWidth="1"/>
    <col min="4" max="4" width="10.5" style="30" customWidth="1"/>
    <col min="5" max="6" width="19.125" style="30" customWidth="1"/>
    <col min="7" max="7" width="2.25" style="30" customWidth="1"/>
    <col min="8" max="8" width="13.75" style="112" bestFit="1" customWidth="1"/>
    <col min="9" max="10" width="9" style="112"/>
    <col min="11" max="11" width="13" style="2" customWidth="1"/>
    <col min="12" max="16384" width="9" style="2"/>
  </cols>
  <sheetData>
    <row r="1" spans="1:13" ht="45.75" customHeight="1">
      <c r="A1" s="29"/>
      <c r="B1" s="236" t="s">
        <v>6</v>
      </c>
      <c r="C1" s="236"/>
      <c r="D1" s="236"/>
      <c r="K1" s="15"/>
    </row>
    <row r="2" spans="1:13" ht="31.5" customHeight="1">
      <c r="B2" s="238" t="s">
        <v>9</v>
      </c>
      <c r="C2" s="238"/>
      <c r="D2" s="238"/>
      <c r="E2" s="31"/>
      <c r="K2" s="15"/>
    </row>
    <row r="3" spans="1:13" ht="30" customHeight="1">
      <c r="B3" s="237" t="s">
        <v>8</v>
      </c>
      <c r="C3" s="237"/>
      <c r="D3" s="237"/>
      <c r="E3" s="243"/>
      <c r="F3" s="243"/>
      <c r="H3" s="147">
        <v>0</v>
      </c>
      <c r="I3" s="113"/>
      <c r="J3" s="114"/>
      <c r="K3" s="15"/>
    </row>
    <row r="4" spans="1:13" ht="15" customHeight="1">
      <c r="B4" s="244" t="s">
        <v>390</v>
      </c>
      <c r="C4" s="244"/>
      <c r="D4" s="244"/>
      <c r="E4" s="32"/>
      <c r="F4" s="33"/>
      <c r="H4" s="115"/>
      <c r="I4" s="116"/>
      <c r="J4" s="117"/>
      <c r="K4" s="15"/>
    </row>
    <row r="5" spans="1:13" ht="15.75">
      <c r="B5" s="34" t="s">
        <v>191</v>
      </c>
      <c r="C5" s="35" t="s">
        <v>557</v>
      </c>
      <c r="D5" s="205"/>
      <c r="E5" s="37" t="s">
        <v>192</v>
      </c>
      <c r="F5" s="111" t="s">
        <v>516</v>
      </c>
      <c r="H5" s="240" t="s">
        <v>161</v>
      </c>
      <c r="I5" s="241"/>
      <c r="J5" s="242"/>
      <c r="K5" s="15"/>
    </row>
    <row r="6" spans="1:13" ht="15">
      <c r="B6" s="38" t="s">
        <v>193</v>
      </c>
      <c r="C6" s="245" t="s">
        <v>555</v>
      </c>
      <c r="D6" s="245"/>
      <c r="E6" s="37" t="s">
        <v>194</v>
      </c>
      <c r="F6" s="39">
        <f>F8+90</f>
        <v>43633</v>
      </c>
      <c r="H6" s="240"/>
      <c r="I6" s="241"/>
      <c r="J6" s="242"/>
      <c r="K6" s="15"/>
    </row>
    <row r="7" spans="1:13" ht="39" customHeight="1">
      <c r="B7" s="40" t="s">
        <v>195</v>
      </c>
      <c r="C7" s="246" t="s">
        <v>552</v>
      </c>
      <c r="D7" s="246"/>
      <c r="E7" s="40"/>
      <c r="F7" s="41"/>
      <c r="H7" s="240"/>
      <c r="I7" s="241"/>
      <c r="J7" s="242"/>
      <c r="K7" s="15"/>
    </row>
    <row r="8" spans="1:13" ht="15">
      <c r="B8" s="42" t="s">
        <v>10</v>
      </c>
      <c r="C8" s="247" t="s">
        <v>556</v>
      </c>
      <c r="D8" s="247"/>
      <c r="E8" s="43" t="s">
        <v>14</v>
      </c>
      <c r="F8" s="39">
        <v>43543</v>
      </c>
      <c r="H8" s="115"/>
      <c r="I8" s="116"/>
      <c r="J8" s="117"/>
      <c r="K8" s="15"/>
    </row>
    <row r="9" spans="1:13" ht="15">
      <c r="B9" s="44" t="s">
        <v>196</v>
      </c>
      <c r="C9" s="246"/>
      <c r="D9" s="246"/>
      <c r="H9" s="118"/>
      <c r="I9" s="119"/>
      <c r="J9" s="120"/>
      <c r="K9" s="15"/>
    </row>
    <row r="10" spans="1:13" ht="15" customHeight="1">
      <c r="B10" s="248"/>
      <c r="C10" s="248"/>
      <c r="D10" s="248"/>
      <c r="E10" s="248"/>
      <c r="F10" s="248"/>
      <c r="H10" s="20"/>
      <c r="I10" s="239"/>
      <c r="J10" s="239"/>
      <c r="K10" s="15"/>
    </row>
    <row r="11" spans="1:13" ht="23.25" customHeight="1">
      <c r="B11" s="45" t="s">
        <v>0</v>
      </c>
      <c r="C11" s="45" t="s">
        <v>1</v>
      </c>
      <c r="D11" s="45" t="s">
        <v>11</v>
      </c>
      <c r="E11" s="45" t="s">
        <v>2</v>
      </c>
      <c r="F11" s="45" t="s">
        <v>3</v>
      </c>
      <c r="H11" s="235" t="s">
        <v>461</v>
      </c>
      <c r="I11" s="235"/>
      <c r="J11" s="235"/>
      <c r="K11" s="235"/>
    </row>
    <row r="12" spans="1:13" ht="48" customHeight="1">
      <c r="B12" s="46">
        <v>1</v>
      </c>
      <c r="C12" s="30" t="s">
        <v>559</v>
      </c>
      <c r="D12" s="47" t="s">
        <v>551</v>
      </c>
      <c r="E12" s="48">
        <v>3931162</v>
      </c>
      <c r="F12" s="49">
        <f>IFERROR(IF(Quotation105[[#This Row],[QUANTITY]],Quotation105[[#This Row],[QUANTITY]]*Quotation105[[#This Row],[UNIT PRICE]],""),"")</f>
        <v>3931162</v>
      </c>
      <c r="H12" s="235"/>
      <c r="I12" s="235"/>
      <c r="J12" s="235"/>
      <c r="K12" s="235"/>
    </row>
    <row r="13" spans="1:13" ht="30" customHeight="1">
      <c r="B13" s="46"/>
      <c r="C13" s="3"/>
      <c r="D13" s="47"/>
      <c r="E13" s="48"/>
      <c r="F13" s="49" t="str">
        <f>IFERROR(IF(Quotation105[[#This Row],[QUANTITY]],Quotation105[[#This Row],[QUANTITY]]*Quotation105[[#This Row],[UNIT PRICE]],""),"")</f>
        <v/>
      </c>
      <c r="H13" s="235"/>
      <c r="I13" s="235"/>
      <c r="J13" s="235"/>
      <c r="K13" s="235"/>
    </row>
    <row r="14" spans="1:13" ht="19.5" customHeight="1">
      <c r="B14" s="46"/>
      <c r="D14" s="47"/>
      <c r="E14" s="48"/>
      <c r="F14" s="49" t="str">
        <f>IFERROR(IF(Quotation105[[#This Row],[QUANTITY]],Quotation105[[#This Row],[QUANTITY]]*Quotation105[[#This Row],[UNIT PRICE]],""),"")</f>
        <v/>
      </c>
      <c r="H14" s="235"/>
      <c r="I14" s="235"/>
      <c r="J14" s="235"/>
      <c r="K14" s="235"/>
    </row>
    <row r="15" spans="1:13" ht="19.5" customHeight="1">
      <c r="B15" s="46"/>
      <c r="C15" s="50"/>
      <c r="D15" s="47"/>
      <c r="E15" s="48"/>
      <c r="F15" s="49" t="str">
        <f>IFERROR(IF(Quotation105[[#This Row],[QUANTITY]],Quotation105[[#This Row],[QUANTITY]]*Quotation105[[#This Row],[UNIT PRICE]],""),"")</f>
        <v/>
      </c>
      <c r="H15" s="235"/>
      <c r="I15" s="235"/>
      <c r="J15" s="235"/>
      <c r="K15" s="235"/>
      <c r="L15" s="140"/>
      <c r="M15" s="140"/>
    </row>
    <row r="16" spans="1:13" ht="19.5" customHeight="1">
      <c r="B16" s="46"/>
      <c r="C16" s="50"/>
      <c r="D16" s="47"/>
      <c r="E16" s="48"/>
      <c r="F16" s="49" t="str">
        <f>IFERROR(IF(Quotation105[[#This Row],[QUANTITY]],Quotation105[[#This Row],[QUANTITY]]*Quotation105[[#This Row],[UNIT PRICE]],""),"")</f>
        <v/>
      </c>
      <c r="H16" s="235"/>
      <c r="I16" s="235"/>
      <c r="J16" s="235"/>
      <c r="K16" s="235"/>
      <c r="L16" s="140"/>
      <c r="M16" s="140"/>
    </row>
    <row r="17" spans="2:11" ht="19.5" customHeight="1">
      <c r="B17" s="46"/>
      <c r="C17" s="50"/>
      <c r="D17" s="47"/>
      <c r="E17" s="48"/>
      <c r="F17" s="49" t="str">
        <f>IFERROR(IF(Quotation105[[#This Row],[QUANTITY]],Quotation105[[#This Row],[QUANTITY]]*Quotation105[[#This Row],[UNIT PRICE]],""),"")</f>
        <v/>
      </c>
      <c r="H17" s="235"/>
      <c r="I17" s="235"/>
      <c r="J17" s="235"/>
      <c r="K17" s="235"/>
    </row>
    <row r="18" spans="2:11" ht="19.5" customHeight="1">
      <c r="B18" s="46"/>
      <c r="C18" s="50"/>
      <c r="D18" s="47"/>
      <c r="E18" s="48"/>
      <c r="F18" s="49" t="str">
        <f>IFERROR(IF(Quotation105[[#This Row],[QUANTITY]],Quotation105[[#This Row],[QUANTITY]]*Quotation105[[#This Row],[UNIT PRICE]],""),"")</f>
        <v/>
      </c>
      <c r="H18" s="235"/>
      <c r="I18" s="235"/>
      <c r="J18" s="235"/>
      <c r="K18" s="235"/>
    </row>
    <row r="19" spans="2:11" ht="19.5" customHeight="1">
      <c r="B19" s="46"/>
      <c r="C19" s="50"/>
      <c r="D19" s="47"/>
      <c r="E19" s="48"/>
      <c r="F19" s="49" t="str">
        <f>IFERROR(IF(Quotation105[[#This Row],[QUANTITY]],Quotation105[[#This Row],[QUANTITY]]*Quotation105[[#This Row],[UNIT PRICE]],""),"")</f>
        <v/>
      </c>
      <c r="H19" s="235"/>
      <c r="I19" s="235"/>
      <c r="J19" s="235"/>
      <c r="K19" s="235"/>
    </row>
    <row r="20" spans="2:11" ht="19.5" customHeight="1">
      <c r="B20" s="46"/>
      <c r="C20" s="50"/>
      <c r="D20" s="47"/>
      <c r="E20" s="48"/>
      <c r="F20" s="49" t="str">
        <f>IFERROR(IF(Quotation105[[#This Row],[QUANTITY]],Quotation105[[#This Row],[QUANTITY]]*Quotation105[[#This Row],[UNIT PRICE]],""),"")</f>
        <v/>
      </c>
      <c r="H20" s="235"/>
      <c r="I20" s="235"/>
      <c r="J20" s="235"/>
      <c r="K20" s="235"/>
    </row>
    <row r="21" spans="2:11" ht="19.5" customHeight="1">
      <c r="B21" s="46"/>
      <c r="D21" s="47"/>
      <c r="E21" s="48"/>
      <c r="F21" s="49" t="str">
        <f>IFERROR(IF(Quotation105[[#This Row],[QUANTITY]],Quotation105[[#This Row],[QUANTITY]]*Quotation105[[#This Row],[UNIT PRICE]],""),"")</f>
        <v/>
      </c>
      <c r="H21" s="235"/>
      <c r="I21" s="235"/>
      <c r="J21" s="235"/>
      <c r="K21" s="235"/>
    </row>
    <row r="22" spans="2:11" ht="19.5" customHeight="1">
      <c r="B22" s="46"/>
      <c r="C22" s="50"/>
      <c r="D22" s="47"/>
      <c r="E22" s="48"/>
      <c r="F22" s="49" t="str">
        <f>IFERROR(IF(Quotation105[[#This Row],[QUANTITY]],Quotation105[[#This Row],[QUANTITY]]*Quotation105[[#This Row],[UNIT PRICE]],""),"")</f>
        <v/>
      </c>
      <c r="H22" s="235"/>
      <c r="I22" s="235"/>
      <c r="J22" s="235"/>
      <c r="K22" s="235"/>
    </row>
    <row r="23" spans="2:11" ht="19.5" customHeight="1">
      <c r="B23" s="46"/>
      <c r="C23" s="50"/>
      <c r="D23" s="47"/>
      <c r="E23" s="48"/>
      <c r="F23" s="49" t="str">
        <f>IFERROR(IF(Quotation105[[#This Row],[QUANTITY]],Quotation105[[#This Row],[QUANTITY]]*Quotation105[[#This Row],[UNIT PRICE]],""),"")</f>
        <v/>
      </c>
      <c r="H23" s="235"/>
      <c r="I23" s="235"/>
      <c r="J23" s="235"/>
      <c r="K23" s="235"/>
    </row>
    <row r="24" spans="2:11" ht="19.5" customHeight="1">
      <c r="B24" s="46"/>
      <c r="C24" s="50"/>
      <c r="D24" s="47"/>
      <c r="E24" s="48"/>
      <c r="F24" s="49" t="str">
        <f>IFERROR(IF(Quotation105[[#This Row],[QUANTITY]],Quotation105[[#This Row],[QUANTITY]]*Quotation105[[#This Row],[UNIT PRICE]],""),"")</f>
        <v/>
      </c>
      <c r="H24" s="235"/>
      <c r="I24" s="235"/>
      <c r="J24" s="235"/>
      <c r="K24" s="235"/>
    </row>
    <row r="25" spans="2:11" ht="19.5" customHeight="1">
      <c r="B25" s="46"/>
      <c r="C25" s="50"/>
      <c r="D25" s="47"/>
      <c r="E25" s="48"/>
      <c r="F25" s="49" t="str">
        <f>IFERROR(IF(Quotation105[[#This Row],[QUANTITY]],Quotation105[[#This Row],[QUANTITY]]*Quotation105[[#This Row],[UNIT PRICE]],""),"")</f>
        <v/>
      </c>
      <c r="H25" s="235"/>
      <c r="I25" s="235"/>
      <c r="J25" s="235"/>
      <c r="K25" s="235"/>
    </row>
    <row r="26" spans="2:11" ht="19.5" customHeight="1">
      <c r="B26" s="46"/>
      <c r="C26" s="50"/>
      <c r="D26" s="47"/>
      <c r="E26" s="48"/>
      <c r="F26" s="49" t="str">
        <f>IFERROR(IF(Quotation105[[#This Row],[QUANTITY]],Quotation105[[#This Row],[QUANTITY]]*Quotation105[[#This Row],[UNIT PRICE]],""),"")</f>
        <v/>
      </c>
      <c r="H26" s="235"/>
      <c r="I26" s="235"/>
      <c r="J26" s="235"/>
      <c r="K26" s="235"/>
    </row>
    <row r="27" spans="2:11" ht="19.5" customHeight="1">
      <c r="B27" s="46"/>
      <c r="C27" s="50"/>
      <c r="D27" s="47"/>
      <c r="E27" s="48"/>
      <c r="F27" s="49" t="str">
        <f>IFERROR(IF(Quotation105[[#This Row],[QUANTITY]],Quotation105[[#This Row],[QUANTITY]]*Quotation105[[#This Row],[UNIT PRICE]],""),"")</f>
        <v/>
      </c>
      <c r="H27" s="235"/>
      <c r="I27" s="235"/>
      <c r="J27" s="235"/>
      <c r="K27" s="235"/>
    </row>
    <row r="28" spans="2:11" ht="19.5" customHeight="1">
      <c r="B28" s="46"/>
      <c r="D28" s="47"/>
      <c r="E28" s="48"/>
      <c r="F28" s="49" t="str">
        <f>IFERROR(IF(Quotation105[[#This Row],[QUANTITY]],Quotation105[[#This Row],[QUANTITY]]*Quotation105[[#This Row],[UNIT PRICE]],""),"")</f>
        <v/>
      </c>
      <c r="H28" s="235"/>
      <c r="I28" s="235"/>
      <c r="J28" s="235"/>
      <c r="K28" s="235"/>
    </row>
    <row r="29" spans="2:11" ht="19.5" customHeight="1">
      <c r="E29" s="51" t="s">
        <v>214</v>
      </c>
      <c r="F29" s="52">
        <f>IFERROR(IF(B12,SUM(Quotation105[AMOUNT]),""),"")</f>
        <v>3931162</v>
      </c>
      <c r="H29" s="121" t="s">
        <v>384</v>
      </c>
      <c r="I29" s="234" t="str">
        <f>B41</f>
        <v>Walter Uy</v>
      </c>
      <c r="J29" s="234"/>
      <c r="K29" s="15"/>
    </row>
    <row r="30" spans="2:11" ht="19.5" customHeight="1">
      <c r="E30" s="53" t="s">
        <v>7</v>
      </c>
      <c r="F30" s="54">
        <f>Quotation105[[#Totals],[AMOUNT]]*(H30/100)</f>
        <v>0</v>
      </c>
      <c r="H30" s="122">
        <v>0</v>
      </c>
      <c r="I30" s="261" t="s">
        <v>154</v>
      </c>
      <c r="J30" s="261"/>
      <c r="K30" s="15"/>
    </row>
    <row r="31" spans="2:11" ht="19.5" customHeight="1">
      <c r="B31" s="55" t="s">
        <v>197</v>
      </c>
      <c r="C31" s="31"/>
      <c r="E31" s="53" t="s">
        <v>41</v>
      </c>
      <c r="F31" s="56">
        <f>Quotation105[[#Totals],[AMOUNT]]-F30</f>
        <v>3931162</v>
      </c>
      <c r="H31" s="123">
        <f>F42</f>
        <v>0</v>
      </c>
      <c r="I31" s="262">
        <f>F31</f>
        <v>3931162</v>
      </c>
      <c r="J31" s="263"/>
      <c r="K31" s="15"/>
    </row>
    <row r="32" spans="2:11" ht="13.5" customHeight="1">
      <c r="B32" s="43" t="s">
        <v>198</v>
      </c>
      <c r="C32" s="50" t="s">
        <v>199</v>
      </c>
      <c r="E32" s="57"/>
      <c r="F32" s="58"/>
      <c r="H32" s="20"/>
      <c r="I32" s="20"/>
      <c r="J32" s="20"/>
      <c r="K32" s="15"/>
    </row>
    <row r="33" spans="1:13" ht="15">
      <c r="B33" s="43"/>
      <c r="C33" s="50" t="s">
        <v>200</v>
      </c>
      <c r="E33" s="57"/>
      <c r="H33" s="20"/>
      <c r="I33" s="233"/>
      <c r="J33" s="233"/>
      <c r="K33" s="15"/>
    </row>
    <row r="34" spans="1:13" ht="15">
      <c r="B34" s="43"/>
      <c r="C34" s="50" t="s">
        <v>201</v>
      </c>
      <c r="E34" s="57"/>
      <c r="H34" s="20"/>
      <c r="I34" s="20"/>
      <c r="J34" s="20"/>
      <c r="K34" s="15"/>
    </row>
    <row r="35" spans="1:13" ht="13.5" customHeight="1">
      <c r="B35" s="43"/>
      <c r="C35" s="110" t="s">
        <v>202</v>
      </c>
      <c r="H35" s="20"/>
      <c r="I35" s="20"/>
      <c r="J35" s="20"/>
      <c r="K35" s="15"/>
    </row>
    <row r="36" spans="1:13" ht="13.5" customHeight="1">
      <c r="B36" s="43" t="s">
        <v>203</v>
      </c>
      <c r="C36" s="50" t="s">
        <v>204</v>
      </c>
      <c r="K36" s="15"/>
    </row>
    <row r="37" spans="1:13" ht="13.5" customHeight="1">
      <c r="B37" s="43" t="s">
        <v>205</v>
      </c>
      <c r="C37" s="30" t="s">
        <v>206</v>
      </c>
      <c r="K37" s="15"/>
    </row>
    <row r="38" spans="1:13" ht="13.5" customHeight="1">
      <c r="B38" s="43"/>
      <c r="C38" s="59" t="s">
        <v>549</v>
      </c>
      <c r="K38" s="15"/>
    </row>
    <row r="39" spans="1:13" ht="13.5" customHeight="1">
      <c r="K39" s="15"/>
    </row>
    <row r="40" spans="1:13" ht="13.5" customHeight="1">
      <c r="B40" s="60"/>
      <c r="C40" s="61"/>
      <c r="D40" s="60" t="s">
        <v>208</v>
      </c>
      <c r="E40" s="62"/>
      <c r="F40" s="63"/>
      <c r="G40" s="64"/>
      <c r="K40" s="15"/>
    </row>
    <row r="41" spans="1:13" ht="37.5" customHeight="1">
      <c r="A41" s="65"/>
      <c r="B41" s="66" t="s">
        <v>395</v>
      </c>
      <c r="C41" s="67" t="s">
        <v>152</v>
      </c>
      <c r="D41" s="68"/>
      <c r="E41" s="69"/>
      <c r="F41" s="70"/>
      <c r="G41" s="64"/>
      <c r="K41" s="15"/>
    </row>
    <row r="42" spans="1:13" ht="14.25" customHeight="1">
      <c r="A42" s="65"/>
      <c r="B42" s="71" t="s">
        <v>16</v>
      </c>
      <c r="C42" s="72" t="s">
        <v>153</v>
      </c>
      <c r="D42" s="249" t="s">
        <v>520</v>
      </c>
      <c r="E42" s="250"/>
      <c r="F42" s="251"/>
      <c r="G42" s="64"/>
      <c r="K42" s="15"/>
    </row>
    <row r="43" spans="1:13" ht="20.25" customHeight="1">
      <c r="A43" s="73"/>
      <c r="B43" s="73"/>
      <c r="C43" s="74"/>
      <c r="D43" s="75"/>
      <c r="E43" s="76"/>
      <c r="F43" s="74"/>
      <c r="G43" s="76"/>
      <c r="K43" s="15"/>
    </row>
    <row r="44" spans="1:13" ht="15">
      <c r="A44" s="73"/>
      <c r="B44" s="73"/>
      <c r="C44" s="74"/>
      <c r="D44" s="75"/>
      <c r="E44" s="76"/>
      <c r="F44" s="74"/>
      <c r="G44" s="76"/>
      <c r="K44" s="15"/>
    </row>
    <row r="45" spans="1:13" ht="15">
      <c r="A45" s="73"/>
      <c r="B45" s="77" t="s">
        <v>520</v>
      </c>
      <c r="C45" s="78"/>
      <c r="D45" s="79"/>
      <c r="E45" s="80"/>
      <c r="F45" s="81"/>
      <c r="G45" s="76"/>
      <c r="K45" s="15"/>
    </row>
    <row r="46" spans="1:13" ht="15">
      <c r="A46" s="76"/>
      <c r="B46" s="82" t="s">
        <v>210</v>
      </c>
      <c r="C46" s="83"/>
      <c r="D46" s="84"/>
      <c r="E46" s="85"/>
      <c r="F46" s="86"/>
      <c r="G46" s="87"/>
      <c r="K46" s="15"/>
    </row>
    <row r="47" spans="1:13" ht="15">
      <c r="A47" s="76"/>
      <c r="B47" s="82" t="s">
        <v>521</v>
      </c>
      <c r="C47" s="83"/>
      <c r="D47" s="84"/>
      <c r="E47" s="85"/>
      <c r="F47" s="86"/>
      <c r="G47" s="87"/>
      <c r="H47" s="124"/>
      <c r="I47" s="125"/>
      <c r="J47" s="125"/>
      <c r="K47" s="126"/>
      <c r="L47" s="30"/>
      <c r="M47" s="30"/>
    </row>
    <row r="48" spans="1:13" ht="15">
      <c r="A48" s="88"/>
      <c r="B48" s="89">
        <f ca="1">TODAY()</f>
        <v>43543</v>
      </c>
      <c r="C48" s="90"/>
      <c r="D48" s="91"/>
      <c r="E48" s="92"/>
      <c r="F48" s="93"/>
      <c r="G48" s="87"/>
      <c r="H48" s="124"/>
      <c r="I48" s="125"/>
      <c r="J48" s="125"/>
      <c r="K48" s="127" t="s">
        <v>245</v>
      </c>
      <c r="L48" s="30"/>
      <c r="M48" s="30"/>
    </row>
    <row r="49" spans="1:13" ht="15">
      <c r="A49" s="88"/>
      <c r="B49" s="76"/>
      <c r="C49" s="74"/>
      <c r="D49" s="75"/>
      <c r="E49" s="76"/>
      <c r="F49" s="74"/>
      <c r="G49" s="87"/>
      <c r="H49" s="124"/>
      <c r="I49" s="125"/>
      <c r="J49" s="125"/>
      <c r="K49" s="128">
        <f>SUM(K50:K65)</f>
        <v>8614</v>
      </c>
      <c r="L49" s="30"/>
      <c r="M49" s="30"/>
    </row>
    <row r="50" spans="1:13" ht="15">
      <c r="A50" s="94"/>
      <c r="B50" s="252" t="s">
        <v>523</v>
      </c>
      <c r="C50" s="253"/>
      <c r="D50" s="95" t="s">
        <v>213</v>
      </c>
      <c r="E50" s="95" t="s">
        <v>2</v>
      </c>
      <c r="F50" s="96" t="s">
        <v>550</v>
      </c>
      <c r="G50" s="97"/>
      <c r="H50" s="225" t="s">
        <v>385</v>
      </c>
      <c r="I50" s="225" t="s">
        <v>386</v>
      </c>
      <c r="J50" s="225" t="s">
        <v>387</v>
      </c>
      <c r="K50" s="225" t="s">
        <v>388</v>
      </c>
      <c r="L50" s="30"/>
      <c r="M50" s="30"/>
    </row>
    <row r="51" spans="1:13" ht="15" hidden="1">
      <c r="A51" s="98"/>
      <c r="B51" s="99" t="s">
        <v>215</v>
      </c>
      <c r="C51" s="100" t="s">
        <v>216</v>
      </c>
      <c r="D51" s="101">
        <v>0</v>
      </c>
      <c r="E51" s="102">
        <f>H51*I51*J51</f>
        <v>93000</v>
      </c>
      <c r="F51" s="102">
        <f>E51*D51</f>
        <v>0</v>
      </c>
      <c r="G51" s="103"/>
      <c r="H51" s="129">
        <v>750</v>
      </c>
      <c r="I51" s="130">
        <v>62</v>
      </c>
      <c r="J51" s="131">
        <v>2</v>
      </c>
      <c r="K51" s="132">
        <f>H51*D51</f>
        <v>0</v>
      </c>
      <c r="L51" s="30"/>
      <c r="M51" s="30"/>
    </row>
    <row r="52" spans="1:13" ht="120.75" customHeight="1">
      <c r="A52" s="98"/>
      <c r="B52" s="99" t="s">
        <v>217</v>
      </c>
      <c r="C52" s="100" t="s">
        <v>522</v>
      </c>
      <c r="D52" s="101">
        <v>2</v>
      </c>
      <c r="E52" s="102">
        <f t="shared" ref="E52:E64" si="0">H52*I52*J52</f>
        <v>247380</v>
      </c>
      <c r="F52" s="102">
        <f t="shared" ref="F52:F65" si="1">E52*D52</f>
        <v>494760</v>
      </c>
      <c r="G52" s="103"/>
      <c r="H52" s="129">
        <v>1995</v>
      </c>
      <c r="I52" s="130">
        <v>62</v>
      </c>
      <c r="J52" s="131">
        <v>2</v>
      </c>
      <c r="K52" s="132">
        <f t="shared" ref="K52:K65" si="2">H52*D52</f>
        <v>3990</v>
      </c>
      <c r="L52" s="30"/>
      <c r="M52" s="30"/>
    </row>
    <row r="53" spans="1:13" ht="75">
      <c r="A53" s="98"/>
      <c r="B53" s="99" t="s">
        <v>219</v>
      </c>
      <c r="C53" s="100" t="s">
        <v>220</v>
      </c>
      <c r="D53" s="101">
        <v>2</v>
      </c>
      <c r="E53" s="102">
        <f t="shared" si="0"/>
        <v>37200</v>
      </c>
      <c r="F53" s="102">
        <f t="shared" si="1"/>
        <v>74400</v>
      </c>
      <c r="G53" s="103"/>
      <c r="H53" s="129">
        <v>300</v>
      </c>
      <c r="I53" s="130">
        <v>62</v>
      </c>
      <c r="J53" s="131">
        <v>2</v>
      </c>
      <c r="K53" s="132">
        <f t="shared" si="2"/>
        <v>600</v>
      </c>
      <c r="L53" s="30"/>
      <c r="M53" s="30"/>
    </row>
    <row r="54" spans="1:13">
      <c r="A54" s="98"/>
      <c r="B54" s="99" t="s">
        <v>489</v>
      </c>
      <c r="C54" s="100" t="s">
        <v>222</v>
      </c>
      <c r="D54" s="101">
        <v>2</v>
      </c>
      <c r="E54" s="102">
        <f t="shared" si="0"/>
        <v>84320</v>
      </c>
      <c r="F54" s="102">
        <f t="shared" si="1"/>
        <v>168640</v>
      </c>
      <c r="G54" s="103"/>
      <c r="H54" s="129">
        <v>1360</v>
      </c>
      <c r="I54" s="130">
        <v>62</v>
      </c>
      <c r="J54" s="131">
        <v>1</v>
      </c>
      <c r="K54" s="132">
        <f t="shared" si="2"/>
        <v>2720</v>
      </c>
      <c r="L54" s="30"/>
      <c r="M54" s="30"/>
    </row>
    <row r="55" spans="1:13" ht="75" hidden="1">
      <c r="A55" s="98"/>
      <c r="B55" s="99" t="s">
        <v>223</v>
      </c>
      <c r="C55" s="100" t="s">
        <v>224</v>
      </c>
      <c r="D55" s="101">
        <v>0</v>
      </c>
      <c r="E55" s="102">
        <f t="shared" si="0"/>
        <v>89280</v>
      </c>
      <c r="F55" s="102">
        <f t="shared" si="1"/>
        <v>0</v>
      </c>
      <c r="G55" s="103"/>
      <c r="H55" s="129">
        <v>1440</v>
      </c>
      <c r="I55" s="130">
        <v>62</v>
      </c>
      <c r="J55" s="131">
        <v>1</v>
      </c>
      <c r="K55" s="132">
        <f t="shared" si="2"/>
        <v>0</v>
      </c>
      <c r="L55" s="30"/>
      <c r="M55" s="30"/>
    </row>
    <row r="56" spans="1:13">
      <c r="A56" s="98"/>
      <c r="B56" s="99" t="s">
        <v>225</v>
      </c>
      <c r="C56" s="100" t="s">
        <v>226</v>
      </c>
      <c r="D56" s="101">
        <v>2</v>
      </c>
      <c r="E56" s="102">
        <f t="shared" si="0"/>
        <v>21824</v>
      </c>
      <c r="F56" s="102">
        <f t="shared" si="1"/>
        <v>43648</v>
      </c>
      <c r="G56" s="103"/>
      <c r="H56" s="129">
        <v>352</v>
      </c>
      <c r="I56" s="130">
        <v>62</v>
      </c>
      <c r="J56" s="131">
        <v>1</v>
      </c>
      <c r="K56" s="132">
        <f t="shared" si="2"/>
        <v>704</v>
      </c>
      <c r="L56" s="30"/>
      <c r="M56" s="30"/>
    </row>
    <row r="57" spans="1:13" ht="15">
      <c r="A57" s="98"/>
      <c r="B57" s="99" t="s">
        <v>227</v>
      </c>
      <c r="C57" s="100" t="s">
        <v>228</v>
      </c>
      <c r="D57" s="101">
        <v>2</v>
      </c>
      <c r="E57" s="102">
        <f t="shared" si="0"/>
        <v>27900</v>
      </c>
      <c r="F57" s="102">
        <f t="shared" si="1"/>
        <v>55800</v>
      </c>
      <c r="G57" s="103"/>
      <c r="H57" s="129">
        <v>300</v>
      </c>
      <c r="I57" s="130">
        <v>62</v>
      </c>
      <c r="J57" s="131">
        <v>1.5</v>
      </c>
      <c r="K57" s="132">
        <f t="shared" si="2"/>
        <v>600</v>
      </c>
      <c r="L57" s="30"/>
      <c r="M57" s="30"/>
    </row>
    <row r="58" spans="1:13" ht="15" hidden="1">
      <c r="A58" s="98"/>
      <c r="B58" s="99" t="s">
        <v>229</v>
      </c>
      <c r="C58" s="100" t="s">
        <v>230</v>
      </c>
      <c r="D58" s="101">
        <v>0</v>
      </c>
      <c r="E58" s="102">
        <f t="shared" si="0"/>
        <v>39308</v>
      </c>
      <c r="F58" s="102">
        <f t="shared" si="1"/>
        <v>0</v>
      </c>
      <c r="G58" s="103"/>
      <c r="H58" s="129">
        <v>634</v>
      </c>
      <c r="I58" s="130">
        <v>62</v>
      </c>
      <c r="J58" s="131">
        <v>1</v>
      </c>
      <c r="K58" s="132">
        <f t="shared" si="2"/>
        <v>0</v>
      </c>
      <c r="L58" s="30"/>
      <c r="M58" s="30"/>
    </row>
    <row r="59" spans="1:13" ht="15" hidden="1">
      <c r="A59" s="98"/>
      <c r="B59" s="99" t="s">
        <v>231</v>
      </c>
      <c r="C59" s="100" t="s">
        <v>232</v>
      </c>
      <c r="D59" s="101">
        <v>0</v>
      </c>
      <c r="E59" s="102">
        <f t="shared" si="0"/>
        <v>13454</v>
      </c>
      <c r="F59" s="102">
        <f t="shared" si="1"/>
        <v>0</v>
      </c>
      <c r="G59" s="103"/>
      <c r="H59" s="129">
        <v>217</v>
      </c>
      <c r="I59" s="130">
        <v>62</v>
      </c>
      <c r="J59" s="131">
        <v>1</v>
      </c>
      <c r="K59" s="132">
        <f t="shared" si="2"/>
        <v>0</v>
      </c>
      <c r="L59" s="30"/>
      <c r="M59" s="30"/>
    </row>
    <row r="60" spans="1:13" ht="15" hidden="1">
      <c r="A60" s="98"/>
      <c r="B60" s="99" t="s">
        <v>233</v>
      </c>
      <c r="C60" s="100" t="s">
        <v>234</v>
      </c>
      <c r="D60" s="101">
        <v>0</v>
      </c>
      <c r="E60" s="102">
        <f t="shared" si="0"/>
        <v>2170</v>
      </c>
      <c r="F60" s="102">
        <f t="shared" si="1"/>
        <v>0</v>
      </c>
      <c r="G60" s="103"/>
      <c r="H60" s="129">
        <v>35</v>
      </c>
      <c r="I60" s="130">
        <v>62</v>
      </c>
      <c r="J60" s="131">
        <v>1</v>
      </c>
      <c r="K60" s="132">
        <f t="shared" si="2"/>
        <v>0</v>
      </c>
      <c r="L60" s="30"/>
      <c r="M60" s="30"/>
    </row>
    <row r="61" spans="1:13" ht="15" hidden="1">
      <c r="A61" s="98"/>
      <c r="B61" s="99" t="s">
        <v>235</v>
      </c>
      <c r="C61" s="100" t="s">
        <v>236</v>
      </c>
      <c r="D61" s="101">
        <v>0</v>
      </c>
      <c r="E61" s="102">
        <f t="shared" si="0"/>
        <v>7626</v>
      </c>
      <c r="F61" s="102">
        <f t="shared" si="1"/>
        <v>0</v>
      </c>
      <c r="G61" s="103"/>
      <c r="H61" s="129">
        <v>123</v>
      </c>
      <c r="I61" s="130">
        <v>62</v>
      </c>
      <c r="J61" s="131">
        <v>1</v>
      </c>
      <c r="K61" s="132">
        <f t="shared" si="2"/>
        <v>0</v>
      </c>
      <c r="L61" s="30"/>
      <c r="M61" s="30"/>
    </row>
    <row r="62" spans="1:13" ht="15" hidden="1">
      <c r="A62" s="98"/>
      <c r="B62" s="99" t="s">
        <v>237</v>
      </c>
      <c r="C62" s="100" t="s">
        <v>238</v>
      </c>
      <c r="D62" s="101">
        <v>0</v>
      </c>
      <c r="E62" s="102">
        <f t="shared" si="0"/>
        <v>128786.40000000001</v>
      </c>
      <c r="F62" s="102">
        <f t="shared" si="1"/>
        <v>0</v>
      </c>
      <c r="G62" s="103"/>
      <c r="H62" s="129">
        <v>1154</v>
      </c>
      <c r="I62" s="130">
        <v>62</v>
      </c>
      <c r="J62" s="131">
        <v>1.8</v>
      </c>
      <c r="K62" s="132">
        <f t="shared" si="2"/>
        <v>0</v>
      </c>
      <c r="L62" s="30"/>
      <c r="M62" s="30"/>
    </row>
    <row r="63" spans="1:13" hidden="1">
      <c r="A63" s="98"/>
      <c r="B63" s="99" t="s">
        <v>239</v>
      </c>
      <c r="C63" s="100" t="s">
        <v>240</v>
      </c>
      <c r="D63" s="101">
        <v>0</v>
      </c>
      <c r="E63" s="102">
        <f t="shared" si="0"/>
        <v>14284.800000000001</v>
      </c>
      <c r="F63" s="102">
        <f t="shared" si="1"/>
        <v>0</v>
      </c>
      <c r="G63" s="103"/>
      <c r="H63" s="129">
        <v>128</v>
      </c>
      <c r="I63" s="130">
        <v>62</v>
      </c>
      <c r="J63" s="131">
        <v>1.8</v>
      </c>
      <c r="K63" s="132">
        <f t="shared" si="2"/>
        <v>0</v>
      </c>
      <c r="L63" s="30"/>
      <c r="M63" s="30"/>
    </row>
    <row r="64" spans="1:13" ht="18" hidden="1" customHeight="1">
      <c r="A64" s="98"/>
      <c r="B64" s="99" t="s">
        <v>241</v>
      </c>
      <c r="C64" s="100" t="s">
        <v>242</v>
      </c>
      <c r="D64" s="101">
        <v>0</v>
      </c>
      <c r="E64" s="102">
        <f t="shared" si="0"/>
        <v>18600</v>
      </c>
      <c r="F64" s="102">
        <f t="shared" si="1"/>
        <v>0</v>
      </c>
      <c r="G64" s="103"/>
      <c r="H64" s="129">
        <v>300</v>
      </c>
      <c r="I64" s="130">
        <v>62</v>
      </c>
      <c r="J64" s="131">
        <v>1</v>
      </c>
      <c r="K64" s="132">
        <f t="shared" si="2"/>
        <v>0</v>
      </c>
      <c r="L64" s="30"/>
      <c r="M64" s="30"/>
    </row>
    <row r="65" spans="1:13" hidden="1">
      <c r="A65" s="98"/>
      <c r="B65" s="99" t="s">
        <v>243</v>
      </c>
      <c r="C65" s="100" t="s">
        <v>244</v>
      </c>
      <c r="D65" s="101">
        <v>0</v>
      </c>
      <c r="E65" s="102">
        <f>H65*I65*J65</f>
        <v>17360</v>
      </c>
      <c r="F65" s="102">
        <f t="shared" si="1"/>
        <v>0</v>
      </c>
      <c r="G65" s="103"/>
      <c r="H65" s="133">
        <v>140</v>
      </c>
      <c r="I65" s="134">
        <v>62</v>
      </c>
      <c r="J65" s="135">
        <v>2</v>
      </c>
      <c r="K65" s="136">
        <f t="shared" si="2"/>
        <v>0</v>
      </c>
      <c r="L65" s="30"/>
      <c r="M65" s="30"/>
    </row>
    <row r="66" spans="1:13" ht="15">
      <c r="A66" s="98"/>
      <c r="B66" s="254" t="s">
        <v>490</v>
      </c>
      <c r="C66" s="255"/>
      <c r="D66" s="255"/>
      <c r="E66" s="256"/>
      <c r="F66" s="104">
        <f>SUM(F51:F65)</f>
        <v>837248</v>
      </c>
      <c r="G66" s="103"/>
      <c r="H66" s="137"/>
      <c r="I66" s="137"/>
      <c r="J66" s="138"/>
      <c r="K66" s="139"/>
      <c r="L66" s="30"/>
      <c r="M66" s="30"/>
    </row>
    <row r="67" spans="1:13" ht="15">
      <c r="H67" s="126"/>
      <c r="I67" s="126"/>
      <c r="J67" s="126"/>
      <c r="K67" s="126"/>
      <c r="L67" s="30"/>
      <c r="M67" s="30"/>
    </row>
    <row r="68" spans="1:13" ht="15" customHeight="1">
      <c r="B68" s="252" t="s">
        <v>528</v>
      </c>
      <c r="C68" s="253"/>
      <c r="D68" s="95" t="s">
        <v>213</v>
      </c>
      <c r="E68" s="95" t="s">
        <v>2</v>
      </c>
      <c r="F68" s="96" t="s">
        <v>550</v>
      </c>
      <c r="H68" s="126"/>
      <c r="I68" s="126"/>
      <c r="J68" s="126"/>
      <c r="K68" s="126"/>
      <c r="L68" s="30"/>
      <c r="M68" s="30"/>
    </row>
    <row r="69" spans="1:13" ht="18" customHeight="1">
      <c r="A69" s="98"/>
      <c r="B69" s="99" t="s">
        <v>524</v>
      </c>
      <c r="C69" s="100" t="s">
        <v>525</v>
      </c>
      <c r="D69" s="101">
        <v>2</v>
      </c>
      <c r="E69" s="102">
        <f t="shared" ref="E69" si="3">H69*I69*J69</f>
        <v>44144</v>
      </c>
      <c r="F69" s="102">
        <f t="shared" ref="F69" si="4">E69*D69</f>
        <v>88288</v>
      </c>
      <c r="G69" s="103"/>
      <c r="H69" s="129">
        <v>356</v>
      </c>
      <c r="I69" s="130">
        <v>62</v>
      </c>
      <c r="J69" s="131">
        <v>2</v>
      </c>
      <c r="K69" s="132">
        <f t="shared" ref="K69" si="5">H69*D69</f>
        <v>712</v>
      </c>
      <c r="L69" s="30"/>
      <c r="M69" s="30"/>
    </row>
    <row r="70" spans="1:13" ht="20.25" customHeight="1">
      <c r="A70" s="98"/>
      <c r="B70" s="99" t="s">
        <v>547</v>
      </c>
      <c r="C70" s="100" t="s">
        <v>546</v>
      </c>
      <c r="D70" s="101">
        <v>2</v>
      </c>
      <c r="E70" s="102">
        <f t="shared" ref="E70" si="6">H70*I70*J70</f>
        <v>94240</v>
      </c>
      <c r="F70" s="102">
        <f t="shared" ref="F70" si="7">E70*D70</f>
        <v>188480</v>
      </c>
      <c r="G70" s="103"/>
      <c r="H70" s="129">
        <v>760</v>
      </c>
      <c r="I70" s="130">
        <v>62</v>
      </c>
      <c r="J70" s="131">
        <v>2</v>
      </c>
      <c r="K70" s="132">
        <f t="shared" ref="K70" si="8">H70*D70</f>
        <v>1520</v>
      </c>
      <c r="L70" s="30"/>
      <c r="M70" s="30"/>
    </row>
    <row r="71" spans="1:13" ht="15">
      <c r="A71" s="98"/>
      <c r="B71" s="99" t="s">
        <v>526</v>
      </c>
      <c r="C71" s="100" t="s">
        <v>527</v>
      </c>
      <c r="D71" s="101">
        <v>2</v>
      </c>
      <c r="E71" s="102">
        <f t="shared" ref="E71" si="9">H71*I71*J71</f>
        <v>27776</v>
      </c>
      <c r="F71" s="102">
        <f t="shared" ref="F71" si="10">E71*D71</f>
        <v>55552</v>
      </c>
      <c r="G71" s="103"/>
      <c r="H71" s="129">
        <v>224</v>
      </c>
      <c r="I71" s="130">
        <v>62</v>
      </c>
      <c r="J71" s="131">
        <v>2</v>
      </c>
      <c r="K71" s="132">
        <f t="shared" ref="K71" si="11">H71*D71</f>
        <v>448</v>
      </c>
      <c r="L71" s="30"/>
      <c r="M71" s="30"/>
    </row>
    <row r="72" spans="1:13" ht="15">
      <c r="A72" s="98"/>
      <c r="B72" s="254" t="s">
        <v>490</v>
      </c>
      <c r="C72" s="255"/>
      <c r="D72" s="255"/>
      <c r="E72" s="256"/>
      <c r="F72" s="104">
        <f>SUM(F69:F71)</f>
        <v>332320</v>
      </c>
      <c r="G72" s="103"/>
      <c r="H72" s="137"/>
      <c r="I72" s="137"/>
      <c r="J72" s="138"/>
      <c r="K72" s="139"/>
      <c r="L72" s="30"/>
      <c r="M72" s="30"/>
    </row>
    <row r="73" spans="1:13" ht="15">
      <c r="H73" s="126"/>
      <c r="I73" s="126"/>
      <c r="J73" s="126"/>
      <c r="K73" s="126"/>
      <c r="L73" s="30"/>
      <c r="M73" s="30"/>
    </row>
    <row r="74" spans="1:13" ht="15">
      <c r="A74" s="94"/>
      <c r="B74" s="252" t="s">
        <v>529</v>
      </c>
      <c r="C74" s="253"/>
      <c r="D74" s="95" t="s">
        <v>213</v>
      </c>
      <c r="E74" s="95" t="s">
        <v>2</v>
      </c>
      <c r="F74" s="96" t="s">
        <v>550</v>
      </c>
      <c r="G74" s="97"/>
      <c r="H74" s="225" t="s">
        <v>385</v>
      </c>
      <c r="I74" s="225" t="s">
        <v>386</v>
      </c>
      <c r="J74" s="225" t="s">
        <v>387</v>
      </c>
      <c r="K74" s="225" t="s">
        <v>388</v>
      </c>
      <c r="L74" s="30"/>
      <c r="M74" s="30"/>
    </row>
    <row r="75" spans="1:13" ht="18" customHeight="1">
      <c r="A75" s="98"/>
      <c r="B75" s="99" t="s">
        <v>547</v>
      </c>
      <c r="C75" s="100" t="s">
        <v>546</v>
      </c>
      <c r="D75" s="101">
        <v>2</v>
      </c>
      <c r="E75" s="102">
        <f t="shared" ref="E75:E82" si="12">H75*I75*J75</f>
        <v>94240</v>
      </c>
      <c r="F75" s="102">
        <f t="shared" ref="F75:F99" si="13">E75*D75</f>
        <v>188480</v>
      </c>
      <c r="G75" s="103"/>
      <c r="H75" s="129">
        <v>760</v>
      </c>
      <c r="I75" s="130">
        <v>62</v>
      </c>
      <c r="J75" s="131">
        <v>2</v>
      </c>
      <c r="K75" s="132">
        <f t="shared" ref="K75:K99" si="14">H75*D75</f>
        <v>1520</v>
      </c>
      <c r="L75" s="30"/>
      <c r="M75" s="30"/>
    </row>
    <row r="76" spans="1:13" ht="75" customHeight="1">
      <c r="A76" s="98"/>
      <c r="B76" s="99" t="s">
        <v>247</v>
      </c>
      <c r="C76" s="100" t="s">
        <v>248</v>
      </c>
      <c r="D76" s="101">
        <v>2</v>
      </c>
      <c r="E76" s="102">
        <f t="shared" si="12"/>
        <v>79236</v>
      </c>
      <c r="F76" s="102">
        <f t="shared" si="13"/>
        <v>158472</v>
      </c>
      <c r="G76" s="103"/>
      <c r="H76" s="129">
        <v>639</v>
      </c>
      <c r="I76" s="130">
        <v>62</v>
      </c>
      <c r="J76" s="131">
        <v>2</v>
      </c>
      <c r="K76" s="132">
        <f t="shared" si="14"/>
        <v>1278</v>
      </c>
      <c r="L76" s="30"/>
      <c r="M76" s="30"/>
    </row>
    <row r="77" spans="1:13" ht="60">
      <c r="A77" s="98"/>
      <c r="B77" s="99" t="s">
        <v>249</v>
      </c>
      <c r="C77" s="100" t="s">
        <v>250</v>
      </c>
      <c r="D77" s="101">
        <v>2</v>
      </c>
      <c r="E77" s="102">
        <f t="shared" si="12"/>
        <v>7316</v>
      </c>
      <c r="F77" s="102">
        <f t="shared" si="13"/>
        <v>14632</v>
      </c>
      <c r="G77" s="103"/>
      <c r="H77" s="129">
        <v>118</v>
      </c>
      <c r="I77" s="130">
        <v>62</v>
      </c>
      <c r="J77" s="131">
        <v>1</v>
      </c>
      <c r="K77" s="132">
        <f t="shared" si="14"/>
        <v>236</v>
      </c>
      <c r="L77" s="30"/>
      <c r="M77" s="30"/>
    </row>
    <row r="78" spans="1:13" ht="15">
      <c r="A78" s="98"/>
      <c r="B78" s="99" t="s">
        <v>251</v>
      </c>
      <c r="C78" s="100" t="s">
        <v>252</v>
      </c>
      <c r="D78" s="101">
        <v>2</v>
      </c>
      <c r="E78" s="102">
        <f t="shared" si="12"/>
        <v>28520</v>
      </c>
      <c r="F78" s="102">
        <f t="shared" si="13"/>
        <v>57040</v>
      </c>
      <c r="G78" s="103"/>
      <c r="H78" s="129">
        <v>460</v>
      </c>
      <c r="I78" s="130">
        <v>62</v>
      </c>
      <c r="J78" s="131">
        <v>1</v>
      </c>
      <c r="K78" s="132">
        <f t="shared" si="14"/>
        <v>920</v>
      </c>
      <c r="L78" s="30"/>
      <c r="M78" s="30"/>
    </row>
    <row r="79" spans="1:13" ht="15">
      <c r="A79" s="98"/>
      <c r="B79" s="99" t="s">
        <v>253</v>
      </c>
      <c r="C79" s="100" t="s">
        <v>254</v>
      </c>
      <c r="D79" s="101">
        <v>2</v>
      </c>
      <c r="E79" s="102">
        <f t="shared" si="12"/>
        <v>7440</v>
      </c>
      <c r="F79" s="102">
        <f t="shared" si="13"/>
        <v>14880</v>
      </c>
      <c r="G79" s="103"/>
      <c r="H79" s="129">
        <v>120</v>
      </c>
      <c r="I79" s="130">
        <v>62</v>
      </c>
      <c r="J79" s="131">
        <v>1</v>
      </c>
      <c r="K79" s="132">
        <f t="shared" si="14"/>
        <v>240</v>
      </c>
      <c r="L79" s="30"/>
      <c r="M79" s="30"/>
    </row>
    <row r="80" spans="1:13" ht="15">
      <c r="A80" s="98"/>
      <c r="B80" s="99" t="s">
        <v>255</v>
      </c>
      <c r="C80" s="100" t="s">
        <v>530</v>
      </c>
      <c r="D80" s="101">
        <v>2</v>
      </c>
      <c r="E80" s="102">
        <f t="shared" si="12"/>
        <v>19840</v>
      </c>
      <c r="F80" s="102">
        <f t="shared" si="13"/>
        <v>39680</v>
      </c>
      <c r="G80" s="103"/>
      <c r="H80" s="129">
        <v>320</v>
      </c>
      <c r="I80" s="130">
        <v>62</v>
      </c>
      <c r="J80" s="131">
        <v>1</v>
      </c>
      <c r="K80" s="132">
        <f t="shared" si="14"/>
        <v>640</v>
      </c>
      <c r="L80" s="30"/>
      <c r="M80" s="30"/>
    </row>
    <row r="81" spans="1:13" ht="15">
      <c r="A81" s="98"/>
      <c r="B81" s="99" t="s">
        <v>257</v>
      </c>
      <c r="C81" s="100" t="s">
        <v>258</v>
      </c>
      <c r="D81" s="101">
        <v>2</v>
      </c>
      <c r="E81" s="102">
        <f t="shared" si="12"/>
        <v>11532</v>
      </c>
      <c r="F81" s="102">
        <f t="shared" si="13"/>
        <v>23064</v>
      </c>
      <c r="G81" s="103"/>
      <c r="H81" s="129">
        <v>186</v>
      </c>
      <c r="I81" s="130">
        <v>62</v>
      </c>
      <c r="J81" s="131">
        <v>1</v>
      </c>
      <c r="K81" s="132">
        <f t="shared" si="14"/>
        <v>372</v>
      </c>
      <c r="L81" s="30"/>
      <c r="M81" s="30"/>
    </row>
    <row r="82" spans="1:13" ht="15">
      <c r="A82" s="98"/>
      <c r="B82" s="99" t="s">
        <v>259</v>
      </c>
      <c r="C82" s="100" t="s">
        <v>260</v>
      </c>
      <c r="D82" s="101">
        <v>2</v>
      </c>
      <c r="E82" s="102">
        <f t="shared" si="12"/>
        <v>12028</v>
      </c>
      <c r="F82" s="102">
        <f t="shared" si="13"/>
        <v>24056</v>
      </c>
      <c r="G82" s="103"/>
      <c r="H82" s="129">
        <v>194</v>
      </c>
      <c r="I82" s="130">
        <v>62</v>
      </c>
      <c r="J82" s="131">
        <v>1</v>
      </c>
      <c r="K82" s="132">
        <f t="shared" si="14"/>
        <v>388</v>
      </c>
      <c r="L82" s="30"/>
      <c r="M82" s="30"/>
    </row>
    <row r="83" spans="1:13" ht="150" hidden="1">
      <c r="A83" s="98"/>
      <c r="B83" s="99" t="s">
        <v>217</v>
      </c>
      <c r="C83" s="100" t="s">
        <v>218</v>
      </c>
      <c r="D83" s="101">
        <v>0</v>
      </c>
      <c r="E83" s="102">
        <f>H83*I83*J83</f>
        <v>247380</v>
      </c>
      <c r="F83" s="102">
        <f t="shared" si="13"/>
        <v>0</v>
      </c>
      <c r="G83" s="103"/>
      <c r="H83" s="129">
        <v>1995</v>
      </c>
      <c r="I83" s="130">
        <v>62</v>
      </c>
      <c r="J83" s="131">
        <v>2</v>
      </c>
      <c r="K83" s="132">
        <f t="shared" si="14"/>
        <v>0</v>
      </c>
      <c r="L83" s="30"/>
      <c r="M83" s="30"/>
    </row>
    <row r="84" spans="1:13" ht="75" hidden="1">
      <c r="A84" s="98"/>
      <c r="B84" s="99" t="s">
        <v>219</v>
      </c>
      <c r="C84" s="100" t="s">
        <v>220</v>
      </c>
      <c r="D84" s="101">
        <v>0</v>
      </c>
      <c r="E84" s="102">
        <f t="shared" ref="E84:E98" si="15">H84*I84*J84</f>
        <v>37200</v>
      </c>
      <c r="F84" s="102">
        <f t="shared" si="13"/>
        <v>0</v>
      </c>
      <c r="G84" s="103"/>
      <c r="H84" s="129">
        <v>300</v>
      </c>
      <c r="I84" s="130">
        <v>62</v>
      </c>
      <c r="J84" s="131">
        <v>2</v>
      </c>
      <c r="K84" s="132">
        <f t="shared" si="14"/>
        <v>0</v>
      </c>
      <c r="L84" s="30"/>
      <c r="M84" s="30"/>
    </row>
    <row r="85" spans="1:13" hidden="1">
      <c r="A85" s="98"/>
      <c r="B85" s="99" t="s">
        <v>225</v>
      </c>
      <c r="C85" s="100" t="s">
        <v>226</v>
      </c>
      <c r="D85" s="101">
        <v>0</v>
      </c>
      <c r="E85" s="102">
        <f t="shared" si="15"/>
        <v>21824</v>
      </c>
      <c r="F85" s="102">
        <f t="shared" si="13"/>
        <v>0</v>
      </c>
      <c r="G85" s="103"/>
      <c r="H85" s="129">
        <v>352</v>
      </c>
      <c r="I85" s="130">
        <v>62</v>
      </c>
      <c r="J85" s="131">
        <v>1</v>
      </c>
      <c r="K85" s="132">
        <f t="shared" si="14"/>
        <v>0</v>
      </c>
      <c r="L85" s="30"/>
      <c r="M85" s="30"/>
    </row>
    <row r="86" spans="1:13" ht="15" hidden="1" customHeight="1">
      <c r="A86" s="98"/>
      <c r="B86" s="99" t="s">
        <v>227</v>
      </c>
      <c r="C86" s="100" t="s">
        <v>228</v>
      </c>
      <c r="D86" s="101">
        <v>0</v>
      </c>
      <c r="E86" s="102">
        <f t="shared" si="15"/>
        <v>27900</v>
      </c>
      <c r="F86" s="102">
        <f t="shared" si="13"/>
        <v>0</v>
      </c>
      <c r="G86" s="103"/>
      <c r="H86" s="129">
        <v>300</v>
      </c>
      <c r="I86" s="130">
        <v>62</v>
      </c>
      <c r="J86" s="131">
        <v>1.5</v>
      </c>
      <c r="K86" s="132">
        <f t="shared" si="14"/>
        <v>0</v>
      </c>
      <c r="L86" s="30"/>
      <c r="M86" s="30"/>
    </row>
    <row r="87" spans="1:13" ht="15">
      <c r="A87" s="98"/>
      <c r="B87" s="99" t="s">
        <v>526</v>
      </c>
      <c r="C87" s="100" t="s">
        <v>527</v>
      </c>
      <c r="D87" s="101">
        <v>2</v>
      </c>
      <c r="E87" s="102">
        <f t="shared" si="15"/>
        <v>27776</v>
      </c>
      <c r="F87" s="102">
        <f t="shared" si="13"/>
        <v>55552</v>
      </c>
      <c r="G87" s="103"/>
      <c r="H87" s="129">
        <v>224</v>
      </c>
      <c r="I87" s="130">
        <v>62</v>
      </c>
      <c r="J87" s="131">
        <v>2</v>
      </c>
      <c r="K87" s="132">
        <f t="shared" si="14"/>
        <v>448</v>
      </c>
      <c r="L87" s="30"/>
      <c r="M87" s="30"/>
    </row>
    <row r="88" spans="1:13" ht="15" hidden="1">
      <c r="A88" s="98"/>
      <c r="B88" s="99" t="s">
        <v>261</v>
      </c>
      <c r="C88" s="100" t="s">
        <v>262</v>
      </c>
      <c r="D88" s="101">
        <v>0</v>
      </c>
      <c r="E88" s="102">
        <f t="shared" si="15"/>
        <v>18600</v>
      </c>
      <c r="F88" s="102">
        <f t="shared" si="13"/>
        <v>0</v>
      </c>
      <c r="G88" s="103"/>
      <c r="H88" s="129">
        <v>300</v>
      </c>
      <c r="I88" s="130">
        <v>62</v>
      </c>
      <c r="J88" s="131">
        <v>1</v>
      </c>
      <c r="K88" s="132">
        <f t="shared" si="14"/>
        <v>0</v>
      </c>
      <c r="L88" s="30"/>
      <c r="M88" s="30"/>
    </row>
    <row r="89" spans="1:13" ht="15" hidden="1">
      <c r="A89" s="98"/>
      <c r="B89" s="99" t="s">
        <v>263</v>
      </c>
      <c r="C89" s="100" t="s">
        <v>264</v>
      </c>
      <c r="D89" s="101">
        <v>0</v>
      </c>
      <c r="E89" s="102">
        <f t="shared" si="15"/>
        <v>35712</v>
      </c>
      <c r="F89" s="102">
        <f t="shared" si="13"/>
        <v>0</v>
      </c>
      <c r="G89" s="103"/>
      <c r="H89" s="129">
        <v>384</v>
      </c>
      <c r="I89" s="130">
        <v>62</v>
      </c>
      <c r="J89" s="131">
        <v>1.5</v>
      </c>
      <c r="K89" s="132">
        <f t="shared" si="14"/>
        <v>0</v>
      </c>
      <c r="L89" s="30"/>
      <c r="M89" s="30"/>
    </row>
    <row r="90" spans="1:13" hidden="1">
      <c r="A90" s="98"/>
      <c r="B90" s="99" t="s">
        <v>265</v>
      </c>
      <c r="C90" s="100" t="s">
        <v>266</v>
      </c>
      <c r="D90" s="101">
        <v>0</v>
      </c>
      <c r="E90" s="102">
        <f t="shared" si="15"/>
        <v>89280</v>
      </c>
      <c r="F90" s="102">
        <f t="shared" si="13"/>
        <v>0</v>
      </c>
      <c r="G90" s="103"/>
      <c r="H90" s="129">
        <v>960</v>
      </c>
      <c r="I90" s="130">
        <v>62</v>
      </c>
      <c r="J90" s="131">
        <v>1.5</v>
      </c>
      <c r="K90" s="132">
        <f t="shared" si="14"/>
        <v>0</v>
      </c>
      <c r="L90" s="30"/>
      <c r="M90" s="30"/>
    </row>
    <row r="91" spans="1:13">
      <c r="A91" s="98"/>
      <c r="B91" s="99" t="s">
        <v>267</v>
      </c>
      <c r="C91" s="100" t="s">
        <v>268</v>
      </c>
      <c r="D91" s="101">
        <v>2</v>
      </c>
      <c r="E91" s="102">
        <f t="shared" si="15"/>
        <v>8246</v>
      </c>
      <c r="F91" s="102">
        <f t="shared" si="13"/>
        <v>16492</v>
      </c>
      <c r="G91" s="103"/>
      <c r="H91" s="129">
        <v>133</v>
      </c>
      <c r="I91" s="130">
        <v>62</v>
      </c>
      <c r="J91" s="131">
        <v>1</v>
      </c>
      <c r="K91" s="132">
        <f t="shared" si="14"/>
        <v>266</v>
      </c>
      <c r="L91" s="30"/>
      <c r="M91" s="30"/>
    </row>
    <row r="92" spans="1:13" ht="15" hidden="1">
      <c r="A92" s="98"/>
      <c r="B92" s="99" t="s">
        <v>229</v>
      </c>
      <c r="C92" s="100" t="s">
        <v>230</v>
      </c>
      <c r="D92" s="101">
        <v>0</v>
      </c>
      <c r="E92" s="102">
        <f t="shared" si="15"/>
        <v>39308</v>
      </c>
      <c r="F92" s="102">
        <f t="shared" si="13"/>
        <v>0</v>
      </c>
      <c r="G92" s="103"/>
      <c r="H92" s="129">
        <v>634</v>
      </c>
      <c r="I92" s="130">
        <v>62</v>
      </c>
      <c r="J92" s="131">
        <v>1</v>
      </c>
      <c r="K92" s="132">
        <f t="shared" si="14"/>
        <v>0</v>
      </c>
      <c r="L92" s="30"/>
      <c r="M92" s="30"/>
    </row>
    <row r="93" spans="1:13" ht="15" hidden="1">
      <c r="A93" s="98"/>
      <c r="B93" s="99" t="s">
        <v>231</v>
      </c>
      <c r="C93" s="100" t="s">
        <v>232</v>
      </c>
      <c r="D93" s="101">
        <v>0</v>
      </c>
      <c r="E93" s="102">
        <f t="shared" si="15"/>
        <v>13454</v>
      </c>
      <c r="F93" s="102">
        <f t="shared" si="13"/>
        <v>0</v>
      </c>
      <c r="G93" s="103"/>
      <c r="H93" s="129">
        <v>217</v>
      </c>
      <c r="I93" s="130">
        <v>62</v>
      </c>
      <c r="J93" s="131">
        <v>1</v>
      </c>
      <c r="K93" s="132">
        <f t="shared" si="14"/>
        <v>0</v>
      </c>
      <c r="L93" s="30"/>
      <c r="M93" s="30"/>
    </row>
    <row r="94" spans="1:13" ht="15" hidden="1">
      <c r="A94" s="98"/>
      <c r="B94" s="99" t="s">
        <v>233</v>
      </c>
      <c r="C94" s="100" t="s">
        <v>234</v>
      </c>
      <c r="D94" s="101">
        <v>0</v>
      </c>
      <c r="E94" s="102">
        <f t="shared" si="15"/>
        <v>2170</v>
      </c>
      <c r="F94" s="102">
        <f t="shared" si="13"/>
        <v>0</v>
      </c>
      <c r="G94" s="103"/>
      <c r="H94" s="129">
        <v>35</v>
      </c>
      <c r="I94" s="130">
        <v>62</v>
      </c>
      <c r="J94" s="131">
        <v>1</v>
      </c>
      <c r="K94" s="132">
        <f t="shared" si="14"/>
        <v>0</v>
      </c>
      <c r="L94" s="30"/>
      <c r="M94" s="30"/>
    </row>
    <row r="95" spans="1:13" ht="15" hidden="1">
      <c r="A95" s="98"/>
      <c r="B95" s="99" t="s">
        <v>235</v>
      </c>
      <c r="C95" s="100" t="s">
        <v>236</v>
      </c>
      <c r="D95" s="101">
        <v>0</v>
      </c>
      <c r="E95" s="102">
        <f t="shared" si="15"/>
        <v>7626</v>
      </c>
      <c r="F95" s="102">
        <f t="shared" si="13"/>
        <v>0</v>
      </c>
      <c r="G95" s="103"/>
      <c r="H95" s="129">
        <v>123</v>
      </c>
      <c r="I95" s="130">
        <v>62</v>
      </c>
      <c r="J95" s="131">
        <v>1</v>
      </c>
      <c r="K95" s="132">
        <f t="shared" si="14"/>
        <v>0</v>
      </c>
      <c r="L95" s="30"/>
      <c r="M95" s="30"/>
    </row>
    <row r="96" spans="1:13" ht="15" hidden="1">
      <c r="A96" s="98"/>
      <c r="B96" s="99" t="s">
        <v>237</v>
      </c>
      <c r="C96" s="100" t="s">
        <v>238</v>
      </c>
      <c r="D96" s="101">
        <v>0</v>
      </c>
      <c r="E96" s="102">
        <f t="shared" si="15"/>
        <v>128786.40000000001</v>
      </c>
      <c r="F96" s="102">
        <f t="shared" si="13"/>
        <v>0</v>
      </c>
      <c r="G96" s="103"/>
      <c r="H96" s="129">
        <v>1154</v>
      </c>
      <c r="I96" s="130">
        <v>62</v>
      </c>
      <c r="J96" s="131">
        <v>1.8</v>
      </c>
      <c r="K96" s="132">
        <f t="shared" si="14"/>
        <v>0</v>
      </c>
      <c r="L96" s="30"/>
      <c r="M96" s="30"/>
    </row>
    <row r="97" spans="1:13" hidden="1">
      <c r="A97" s="98"/>
      <c r="B97" s="99" t="s">
        <v>239</v>
      </c>
      <c r="C97" s="100" t="s">
        <v>240</v>
      </c>
      <c r="D97" s="101">
        <v>0</v>
      </c>
      <c r="E97" s="102">
        <f t="shared" si="15"/>
        <v>14284.800000000001</v>
      </c>
      <c r="F97" s="102">
        <f t="shared" si="13"/>
        <v>0</v>
      </c>
      <c r="G97" s="103"/>
      <c r="H97" s="129">
        <v>128</v>
      </c>
      <c r="I97" s="130">
        <v>62</v>
      </c>
      <c r="J97" s="131">
        <v>1.8</v>
      </c>
      <c r="K97" s="132">
        <f t="shared" si="14"/>
        <v>0</v>
      </c>
      <c r="L97" s="30"/>
      <c r="M97" s="30"/>
    </row>
    <row r="98" spans="1:13" ht="15" hidden="1">
      <c r="A98" s="98"/>
      <c r="B98" s="99" t="s">
        <v>241</v>
      </c>
      <c r="C98" s="100" t="s">
        <v>242</v>
      </c>
      <c r="D98" s="101">
        <v>0</v>
      </c>
      <c r="E98" s="102">
        <f t="shared" si="15"/>
        <v>18600</v>
      </c>
      <c r="F98" s="102">
        <f t="shared" si="13"/>
        <v>0</v>
      </c>
      <c r="G98" s="103"/>
      <c r="H98" s="129">
        <v>300</v>
      </c>
      <c r="I98" s="130">
        <v>62</v>
      </c>
      <c r="J98" s="131">
        <v>1</v>
      </c>
      <c r="K98" s="132">
        <f t="shared" si="14"/>
        <v>0</v>
      </c>
      <c r="L98" s="30"/>
      <c r="M98" s="30"/>
    </row>
    <row r="99" spans="1:13" hidden="1">
      <c r="A99" s="98"/>
      <c r="B99" s="99" t="s">
        <v>243</v>
      </c>
      <c r="C99" s="100" t="s">
        <v>244</v>
      </c>
      <c r="D99" s="101">
        <v>0</v>
      </c>
      <c r="E99" s="102">
        <f>H99*I99*J99</f>
        <v>17360</v>
      </c>
      <c r="F99" s="102">
        <f t="shared" si="13"/>
        <v>0</v>
      </c>
      <c r="G99" s="103"/>
      <c r="H99" s="133">
        <v>140</v>
      </c>
      <c r="I99" s="134">
        <v>62</v>
      </c>
      <c r="J99" s="135">
        <v>2</v>
      </c>
      <c r="K99" s="136">
        <f t="shared" si="14"/>
        <v>0</v>
      </c>
      <c r="L99" s="30"/>
      <c r="M99" s="30"/>
    </row>
    <row r="100" spans="1:13" ht="15">
      <c r="A100" s="98"/>
      <c r="B100" s="254" t="s">
        <v>490</v>
      </c>
      <c r="C100" s="255"/>
      <c r="D100" s="255"/>
      <c r="E100" s="256"/>
      <c r="F100" s="104">
        <f>SUM(F75:F99)</f>
        <v>592348</v>
      </c>
      <c r="G100" s="103"/>
      <c r="H100" s="137"/>
      <c r="I100" s="137"/>
      <c r="J100" s="138"/>
      <c r="K100" s="139"/>
      <c r="L100" s="30"/>
      <c r="M100" s="30"/>
    </row>
    <row r="101" spans="1:13" ht="15" hidden="1">
      <c r="H101" s="126"/>
      <c r="I101" s="126"/>
      <c r="J101" s="126"/>
      <c r="K101" s="126"/>
      <c r="L101" s="30"/>
      <c r="M101" s="30"/>
    </row>
    <row r="102" spans="1:13" ht="15" hidden="1">
      <c r="A102" s="94"/>
      <c r="B102" s="252" t="s">
        <v>532</v>
      </c>
      <c r="C102" s="253"/>
      <c r="D102" s="170" t="s">
        <v>213</v>
      </c>
      <c r="E102" s="170" t="s">
        <v>2</v>
      </c>
      <c r="F102" s="171" t="s">
        <v>214</v>
      </c>
      <c r="G102" s="97"/>
      <c r="H102" s="127" t="s">
        <v>385</v>
      </c>
      <c r="I102" s="127" t="s">
        <v>386</v>
      </c>
      <c r="J102" s="127" t="s">
        <v>387</v>
      </c>
      <c r="K102" s="127" t="s">
        <v>388</v>
      </c>
      <c r="L102" s="30"/>
      <c r="M102" s="30"/>
    </row>
    <row r="103" spans="1:13" ht="15" hidden="1">
      <c r="A103" s="98"/>
      <c r="B103" s="99" t="s">
        <v>215</v>
      </c>
      <c r="C103" s="100" t="s">
        <v>216</v>
      </c>
      <c r="D103" s="101">
        <v>0</v>
      </c>
      <c r="E103" s="102">
        <f t="shared" ref="E103:E116" si="16">H103*I103*J103</f>
        <v>93000</v>
      </c>
      <c r="F103" s="102">
        <f t="shared" ref="F103:F117" si="17">E103*D103</f>
        <v>0</v>
      </c>
      <c r="G103" s="103"/>
      <c r="H103" s="129">
        <v>750</v>
      </c>
      <c r="I103" s="130">
        <v>62</v>
      </c>
      <c r="J103" s="131">
        <v>2</v>
      </c>
      <c r="K103" s="132">
        <f t="shared" ref="K103:K117" si="18">H103*D103</f>
        <v>0</v>
      </c>
      <c r="L103" s="30"/>
      <c r="M103" s="30"/>
    </row>
    <row r="104" spans="1:13" ht="90" hidden="1">
      <c r="A104" s="98"/>
      <c r="B104" s="99" t="s">
        <v>247</v>
      </c>
      <c r="C104" s="100" t="s">
        <v>248</v>
      </c>
      <c r="D104" s="101">
        <v>0</v>
      </c>
      <c r="E104" s="102">
        <f t="shared" si="16"/>
        <v>79236</v>
      </c>
      <c r="F104" s="102">
        <f t="shared" si="17"/>
        <v>0</v>
      </c>
      <c r="G104" s="103"/>
      <c r="H104" s="129">
        <v>639</v>
      </c>
      <c r="I104" s="130">
        <v>62</v>
      </c>
      <c r="J104" s="131">
        <v>2</v>
      </c>
      <c r="K104" s="132">
        <f t="shared" si="18"/>
        <v>0</v>
      </c>
      <c r="L104" s="30"/>
      <c r="M104" s="30"/>
    </row>
    <row r="105" spans="1:13" ht="60" hidden="1">
      <c r="A105" s="98"/>
      <c r="B105" s="99" t="s">
        <v>270</v>
      </c>
      <c r="C105" s="100" t="s">
        <v>271</v>
      </c>
      <c r="D105" s="101">
        <v>0</v>
      </c>
      <c r="E105" s="102">
        <f t="shared" si="16"/>
        <v>79236</v>
      </c>
      <c r="F105" s="102">
        <f t="shared" si="17"/>
        <v>0</v>
      </c>
      <c r="G105" s="103"/>
      <c r="H105" s="129">
        <v>639</v>
      </c>
      <c r="I105" s="130">
        <v>62</v>
      </c>
      <c r="J105" s="131">
        <v>2</v>
      </c>
      <c r="K105" s="132">
        <f t="shared" si="18"/>
        <v>0</v>
      </c>
      <c r="L105" s="30"/>
      <c r="M105" s="30"/>
    </row>
    <row r="106" spans="1:13" ht="60" hidden="1">
      <c r="A106" s="98"/>
      <c r="B106" s="99" t="s">
        <v>249</v>
      </c>
      <c r="C106" s="100" t="s">
        <v>250</v>
      </c>
      <c r="D106" s="101">
        <v>0</v>
      </c>
      <c r="E106" s="102">
        <f t="shared" si="16"/>
        <v>7316</v>
      </c>
      <c r="F106" s="102">
        <f t="shared" si="17"/>
        <v>0</v>
      </c>
      <c r="G106" s="103"/>
      <c r="H106" s="129">
        <v>118</v>
      </c>
      <c r="I106" s="130">
        <v>62</v>
      </c>
      <c r="J106" s="131">
        <v>1</v>
      </c>
      <c r="K106" s="132">
        <f t="shared" si="18"/>
        <v>0</v>
      </c>
      <c r="L106" s="30"/>
      <c r="M106" s="30"/>
    </row>
    <row r="107" spans="1:13" ht="15" hidden="1">
      <c r="A107" s="98"/>
      <c r="B107" s="99" t="s">
        <v>251</v>
      </c>
      <c r="C107" s="100" t="s">
        <v>252</v>
      </c>
      <c r="D107" s="101">
        <v>0</v>
      </c>
      <c r="E107" s="102">
        <f t="shared" si="16"/>
        <v>28520</v>
      </c>
      <c r="F107" s="102">
        <f t="shared" si="17"/>
        <v>0</v>
      </c>
      <c r="G107" s="103"/>
      <c r="H107" s="129">
        <v>460</v>
      </c>
      <c r="I107" s="130">
        <v>62</v>
      </c>
      <c r="J107" s="131">
        <v>1</v>
      </c>
      <c r="K107" s="132">
        <f t="shared" si="18"/>
        <v>0</v>
      </c>
      <c r="L107" s="30"/>
      <c r="M107" s="30"/>
    </row>
    <row r="108" spans="1:13" ht="15" hidden="1">
      <c r="A108" s="98"/>
      <c r="B108" s="99" t="s">
        <v>253</v>
      </c>
      <c r="C108" s="100" t="s">
        <v>254</v>
      </c>
      <c r="D108" s="101">
        <v>0</v>
      </c>
      <c r="E108" s="102">
        <f t="shared" si="16"/>
        <v>7440</v>
      </c>
      <c r="F108" s="102">
        <f t="shared" si="17"/>
        <v>0</v>
      </c>
      <c r="G108" s="103"/>
      <c r="H108" s="129">
        <v>120</v>
      </c>
      <c r="I108" s="130">
        <v>62</v>
      </c>
      <c r="J108" s="131">
        <v>1</v>
      </c>
      <c r="K108" s="132">
        <f t="shared" si="18"/>
        <v>0</v>
      </c>
      <c r="L108" s="30"/>
      <c r="M108" s="30"/>
    </row>
    <row r="109" spans="1:13" hidden="1">
      <c r="A109" s="98"/>
      <c r="B109" s="99" t="s">
        <v>255</v>
      </c>
      <c r="C109" s="100" t="s">
        <v>256</v>
      </c>
      <c r="D109" s="101">
        <v>0</v>
      </c>
      <c r="E109" s="102">
        <f t="shared" si="16"/>
        <v>19840</v>
      </c>
      <c r="F109" s="102">
        <f t="shared" si="17"/>
        <v>0</v>
      </c>
      <c r="G109" s="103"/>
      <c r="H109" s="129">
        <v>320</v>
      </c>
      <c r="I109" s="130">
        <v>62</v>
      </c>
      <c r="J109" s="131">
        <v>1</v>
      </c>
      <c r="K109" s="132">
        <f t="shared" si="18"/>
        <v>0</v>
      </c>
      <c r="L109" s="30"/>
      <c r="M109" s="30"/>
    </row>
    <row r="110" spans="1:13" ht="15" hidden="1">
      <c r="A110" s="98"/>
      <c r="B110" s="99" t="s">
        <v>257</v>
      </c>
      <c r="C110" s="100" t="s">
        <v>258</v>
      </c>
      <c r="D110" s="101">
        <v>0</v>
      </c>
      <c r="E110" s="102">
        <f t="shared" si="16"/>
        <v>11532</v>
      </c>
      <c r="F110" s="102">
        <f t="shared" si="17"/>
        <v>0</v>
      </c>
      <c r="G110" s="103"/>
      <c r="H110" s="129">
        <v>186</v>
      </c>
      <c r="I110" s="130">
        <v>62</v>
      </c>
      <c r="J110" s="131">
        <v>1</v>
      </c>
      <c r="K110" s="132">
        <f t="shared" si="18"/>
        <v>0</v>
      </c>
      <c r="L110" s="30"/>
      <c r="M110" s="30"/>
    </row>
    <row r="111" spans="1:13" ht="15" hidden="1">
      <c r="A111" s="98"/>
      <c r="B111" s="99" t="s">
        <v>259</v>
      </c>
      <c r="C111" s="100" t="s">
        <v>260</v>
      </c>
      <c r="D111" s="101">
        <v>0</v>
      </c>
      <c r="E111" s="102">
        <f t="shared" si="16"/>
        <v>12028</v>
      </c>
      <c r="F111" s="102">
        <f t="shared" si="17"/>
        <v>0</v>
      </c>
      <c r="G111" s="103"/>
      <c r="H111" s="129">
        <v>194</v>
      </c>
      <c r="I111" s="130">
        <v>62</v>
      </c>
      <c r="J111" s="131">
        <v>1</v>
      </c>
      <c r="K111" s="132">
        <f t="shared" si="18"/>
        <v>0</v>
      </c>
      <c r="L111" s="30"/>
      <c r="M111" s="30"/>
    </row>
    <row r="112" spans="1:13" ht="15" hidden="1">
      <c r="A112" s="98"/>
      <c r="B112" s="99" t="s">
        <v>261</v>
      </c>
      <c r="C112" s="100" t="s">
        <v>262</v>
      </c>
      <c r="D112" s="101">
        <v>0</v>
      </c>
      <c r="E112" s="102">
        <f t="shared" si="16"/>
        <v>18600</v>
      </c>
      <c r="F112" s="102">
        <f t="shared" si="17"/>
        <v>0</v>
      </c>
      <c r="G112" s="103"/>
      <c r="H112" s="129">
        <v>300</v>
      </c>
      <c r="I112" s="130">
        <v>62</v>
      </c>
      <c r="J112" s="131">
        <v>1</v>
      </c>
      <c r="K112" s="132">
        <f t="shared" si="18"/>
        <v>0</v>
      </c>
      <c r="L112" s="30"/>
      <c r="M112" s="30"/>
    </row>
    <row r="113" spans="1:13" ht="15" hidden="1">
      <c r="A113" s="98"/>
      <c r="B113" s="99" t="s">
        <v>263</v>
      </c>
      <c r="C113" s="100" t="s">
        <v>264</v>
      </c>
      <c r="D113" s="101">
        <v>0</v>
      </c>
      <c r="E113" s="102">
        <f t="shared" si="16"/>
        <v>35712</v>
      </c>
      <c r="F113" s="102">
        <f t="shared" si="17"/>
        <v>0</v>
      </c>
      <c r="G113" s="103"/>
      <c r="H113" s="129">
        <v>384</v>
      </c>
      <c r="I113" s="130">
        <v>62</v>
      </c>
      <c r="J113" s="131">
        <v>1.5</v>
      </c>
      <c r="K113" s="132">
        <f t="shared" si="18"/>
        <v>0</v>
      </c>
      <c r="L113" s="30"/>
      <c r="M113" s="30"/>
    </row>
    <row r="114" spans="1:13" hidden="1">
      <c r="A114" s="98"/>
      <c r="B114" s="99" t="s">
        <v>267</v>
      </c>
      <c r="C114" s="100" t="s">
        <v>268</v>
      </c>
      <c r="D114" s="101">
        <v>0</v>
      </c>
      <c r="E114" s="102">
        <f t="shared" si="16"/>
        <v>8246</v>
      </c>
      <c r="F114" s="102">
        <f t="shared" si="17"/>
        <v>0</v>
      </c>
      <c r="G114" s="103"/>
      <c r="H114" s="129">
        <v>133</v>
      </c>
      <c r="I114" s="130">
        <v>62</v>
      </c>
      <c r="J114" s="131">
        <v>1</v>
      </c>
      <c r="K114" s="132">
        <f t="shared" si="18"/>
        <v>0</v>
      </c>
      <c r="L114" s="30"/>
      <c r="M114" s="30"/>
    </row>
    <row r="115" spans="1:13" ht="15" hidden="1">
      <c r="A115" s="98"/>
      <c r="B115" s="99" t="s">
        <v>272</v>
      </c>
      <c r="C115" s="100" t="s">
        <v>273</v>
      </c>
      <c r="D115" s="101">
        <v>0</v>
      </c>
      <c r="E115" s="102">
        <f t="shared" si="16"/>
        <v>9548</v>
      </c>
      <c r="F115" s="102">
        <f t="shared" si="17"/>
        <v>0</v>
      </c>
      <c r="G115" s="103"/>
      <c r="H115" s="129">
        <v>154</v>
      </c>
      <c r="I115" s="130">
        <v>62</v>
      </c>
      <c r="J115" s="131">
        <v>1</v>
      </c>
      <c r="K115" s="132">
        <f t="shared" si="18"/>
        <v>0</v>
      </c>
      <c r="L115" s="30"/>
      <c r="M115" s="30"/>
    </row>
    <row r="116" spans="1:13" ht="15" hidden="1">
      <c r="A116" s="98"/>
      <c r="B116" s="99" t="s">
        <v>241</v>
      </c>
      <c r="C116" s="100" t="s">
        <v>242</v>
      </c>
      <c r="D116" s="101">
        <v>0</v>
      </c>
      <c r="E116" s="102">
        <f t="shared" si="16"/>
        <v>18600</v>
      </c>
      <c r="F116" s="102">
        <f t="shared" si="17"/>
        <v>0</v>
      </c>
      <c r="G116" s="103"/>
      <c r="H116" s="129">
        <v>300</v>
      </c>
      <c r="I116" s="130">
        <v>62</v>
      </c>
      <c r="J116" s="131">
        <v>1</v>
      </c>
      <c r="K116" s="132">
        <f t="shared" si="18"/>
        <v>0</v>
      </c>
      <c r="L116" s="30"/>
      <c r="M116" s="30"/>
    </row>
    <row r="117" spans="1:13" hidden="1">
      <c r="A117" s="98"/>
      <c r="B117" s="99" t="s">
        <v>243</v>
      </c>
      <c r="C117" s="100" t="s">
        <v>244</v>
      </c>
      <c r="D117" s="101">
        <v>0</v>
      </c>
      <c r="E117" s="102">
        <f>H117*I117*J117</f>
        <v>17360</v>
      </c>
      <c r="F117" s="102">
        <f t="shared" si="17"/>
        <v>0</v>
      </c>
      <c r="G117" s="103"/>
      <c r="H117" s="133">
        <v>140</v>
      </c>
      <c r="I117" s="134">
        <v>62</v>
      </c>
      <c r="J117" s="135">
        <v>2</v>
      </c>
      <c r="K117" s="136">
        <f t="shared" si="18"/>
        <v>0</v>
      </c>
      <c r="L117" s="30"/>
      <c r="M117" s="30"/>
    </row>
    <row r="118" spans="1:13" ht="15" hidden="1">
      <c r="A118" s="98"/>
      <c r="B118" s="254" t="s">
        <v>245</v>
      </c>
      <c r="C118" s="255"/>
      <c r="D118" s="255"/>
      <c r="E118" s="256"/>
      <c r="F118" s="104">
        <f>SUM(F103:F117)</f>
        <v>0</v>
      </c>
      <c r="G118" s="103"/>
      <c r="H118" s="137"/>
      <c r="I118" s="137"/>
      <c r="J118" s="138"/>
      <c r="K118" s="139"/>
      <c r="L118" s="30"/>
      <c r="M118" s="30"/>
    </row>
    <row r="119" spans="1:13" ht="15">
      <c r="H119" s="126"/>
      <c r="I119" s="126"/>
      <c r="J119" s="126"/>
      <c r="K119" s="126"/>
      <c r="L119" s="30"/>
      <c r="M119" s="30"/>
    </row>
    <row r="120" spans="1:13" ht="15">
      <c r="A120" s="94"/>
      <c r="B120" s="252" t="s">
        <v>531</v>
      </c>
      <c r="C120" s="253"/>
      <c r="D120" s="95" t="s">
        <v>213</v>
      </c>
      <c r="E120" s="95" t="s">
        <v>2</v>
      </c>
      <c r="F120" s="96" t="s">
        <v>550</v>
      </c>
      <c r="G120" s="97"/>
      <c r="H120" s="225" t="s">
        <v>385</v>
      </c>
      <c r="I120" s="225" t="s">
        <v>386</v>
      </c>
      <c r="J120" s="225" t="s">
        <v>387</v>
      </c>
      <c r="K120" s="225" t="s">
        <v>388</v>
      </c>
      <c r="L120" s="30"/>
      <c r="M120" s="30"/>
    </row>
    <row r="121" spans="1:13" ht="60" customHeight="1">
      <c r="A121" s="98"/>
      <c r="B121" s="99" t="s">
        <v>247</v>
      </c>
      <c r="C121" s="100" t="s">
        <v>533</v>
      </c>
      <c r="D121" s="101">
        <v>1</v>
      </c>
      <c r="E121" s="102">
        <f>H121*I121*J121</f>
        <v>79236</v>
      </c>
      <c r="F121" s="102">
        <f>E121*D121</f>
        <v>79236</v>
      </c>
      <c r="G121" s="103"/>
      <c r="H121" s="129">
        <v>639</v>
      </c>
      <c r="I121" s="130">
        <v>62</v>
      </c>
      <c r="J121" s="131">
        <v>2</v>
      </c>
      <c r="K121" s="132">
        <f>H121*D121</f>
        <v>639</v>
      </c>
      <c r="L121" s="30"/>
      <c r="M121" s="30"/>
    </row>
    <row r="122" spans="1:13">
      <c r="A122" s="98"/>
      <c r="B122" s="99" t="s">
        <v>249</v>
      </c>
      <c r="C122" s="100" t="s">
        <v>536</v>
      </c>
      <c r="D122" s="101">
        <v>1</v>
      </c>
      <c r="E122" s="102">
        <f>H122*I122*J122</f>
        <v>7316</v>
      </c>
      <c r="F122" s="102">
        <f>E122*D122</f>
        <v>7316</v>
      </c>
      <c r="G122" s="103"/>
      <c r="H122" s="129">
        <v>118</v>
      </c>
      <c r="I122" s="130">
        <v>62</v>
      </c>
      <c r="J122" s="131">
        <v>1</v>
      </c>
      <c r="K122" s="132">
        <f>H122*D122</f>
        <v>118</v>
      </c>
      <c r="L122" s="30"/>
      <c r="M122" s="30"/>
    </row>
    <row r="123" spans="1:13" ht="15">
      <c r="A123" s="98"/>
      <c r="B123" s="99" t="s">
        <v>275</v>
      </c>
      <c r="C123" s="100" t="s">
        <v>276</v>
      </c>
      <c r="D123" s="101">
        <v>1</v>
      </c>
      <c r="E123" s="102">
        <f>H123*I123*J123</f>
        <v>9672</v>
      </c>
      <c r="F123" s="102">
        <f>E123*D123</f>
        <v>9672</v>
      </c>
      <c r="G123" s="103"/>
      <c r="H123" s="129">
        <v>156</v>
      </c>
      <c r="I123" s="130">
        <v>62</v>
      </c>
      <c r="J123" s="131">
        <v>1</v>
      </c>
      <c r="K123" s="132">
        <f>H123*D123</f>
        <v>156</v>
      </c>
      <c r="L123" s="30"/>
      <c r="M123" s="30"/>
    </row>
    <row r="124" spans="1:13" ht="15">
      <c r="A124" s="98"/>
      <c r="B124" s="99" t="s">
        <v>259</v>
      </c>
      <c r="C124" s="100" t="s">
        <v>260</v>
      </c>
      <c r="D124" s="101">
        <v>1</v>
      </c>
      <c r="E124" s="102">
        <f t="shared" ref="E124:E128" si="19">H124*I124*J124</f>
        <v>12028</v>
      </c>
      <c r="F124" s="102">
        <f t="shared" ref="F124:F129" si="20">E124*D124</f>
        <v>12028</v>
      </c>
      <c r="G124" s="103"/>
      <c r="H124" s="129">
        <v>194</v>
      </c>
      <c r="I124" s="130">
        <v>62</v>
      </c>
      <c r="J124" s="131">
        <v>1</v>
      </c>
      <c r="K124" s="132">
        <f t="shared" ref="K124:K129" si="21">H124*D124</f>
        <v>194</v>
      </c>
      <c r="L124" s="30"/>
      <c r="M124" s="30"/>
    </row>
    <row r="125" spans="1:13" ht="15">
      <c r="A125" s="98"/>
      <c r="B125" s="99" t="s">
        <v>534</v>
      </c>
      <c r="C125" s="100" t="s">
        <v>262</v>
      </c>
      <c r="D125" s="101">
        <v>1</v>
      </c>
      <c r="E125" s="102">
        <f t="shared" si="19"/>
        <v>14074</v>
      </c>
      <c r="F125" s="102">
        <f t="shared" si="20"/>
        <v>14074</v>
      </c>
      <c r="G125" s="103"/>
      <c r="H125" s="129">
        <v>227</v>
      </c>
      <c r="I125" s="130">
        <v>62</v>
      </c>
      <c r="J125" s="131">
        <v>1</v>
      </c>
      <c r="K125" s="132">
        <f t="shared" si="21"/>
        <v>227</v>
      </c>
      <c r="L125" s="30"/>
      <c r="M125" s="30"/>
    </row>
    <row r="126" spans="1:13">
      <c r="A126" s="98"/>
      <c r="B126" s="99" t="s">
        <v>267</v>
      </c>
      <c r="C126" s="100" t="s">
        <v>268</v>
      </c>
      <c r="D126" s="101">
        <v>1</v>
      </c>
      <c r="E126" s="102">
        <f t="shared" si="19"/>
        <v>8246</v>
      </c>
      <c r="F126" s="102">
        <f t="shared" si="20"/>
        <v>8246</v>
      </c>
      <c r="G126" s="103"/>
      <c r="H126" s="129">
        <v>133</v>
      </c>
      <c r="I126" s="130">
        <v>62</v>
      </c>
      <c r="J126" s="131">
        <v>1</v>
      </c>
      <c r="K126" s="132">
        <f t="shared" si="21"/>
        <v>133</v>
      </c>
      <c r="L126" s="30"/>
      <c r="M126" s="30"/>
    </row>
    <row r="127" spans="1:13" ht="15">
      <c r="A127" s="98"/>
      <c r="B127" s="99" t="s">
        <v>272</v>
      </c>
      <c r="C127" s="100" t="s">
        <v>535</v>
      </c>
      <c r="D127" s="101">
        <v>1</v>
      </c>
      <c r="E127" s="102">
        <f t="shared" si="19"/>
        <v>12400</v>
      </c>
      <c r="F127" s="102">
        <f t="shared" si="20"/>
        <v>12400</v>
      </c>
      <c r="G127" s="103"/>
      <c r="H127" s="129">
        <v>200</v>
      </c>
      <c r="I127" s="130">
        <v>62</v>
      </c>
      <c r="J127" s="131">
        <v>1</v>
      </c>
      <c r="K127" s="132">
        <f t="shared" si="21"/>
        <v>200</v>
      </c>
      <c r="L127" s="30"/>
      <c r="M127" s="30"/>
    </row>
    <row r="128" spans="1:13" ht="15" hidden="1">
      <c r="A128" s="98"/>
      <c r="B128" s="99" t="s">
        <v>241</v>
      </c>
      <c r="C128" s="100" t="s">
        <v>242</v>
      </c>
      <c r="D128" s="101">
        <v>0</v>
      </c>
      <c r="E128" s="102">
        <f t="shared" si="19"/>
        <v>18600</v>
      </c>
      <c r="F128" s="102">
        <f t="shared" si="20"/>
        <v>0</v>
      </c>
      <c r="G128" s="103"/>
      <c r="H128" s="129">
        <v>300</v>
      </c>
      <c r="I128" s="130">
        <v>62</v>
      </c>
      <c r="J128" s="131">
        <v>1</v>
      </c>
      <c r="K128" s="132">
        <f t="shared" si="21"/>
        <v>0</v>
      </c>
      <c r="L128" s="30"/>
      <c r="M128" s="30"/>
    </row>
    <row r="129" spans="1:13" hidden="1">
      <c r="A129" s="98"/>
      <c r="B129" s="99" t="s">
        <v>243</v>
      </c>
      <c r="C129" s="100" t="s">
        <v>244</v>
      </c>
      <c r="D129" s="101">
        <v>0</v>
      </c>
      <c r="E129" s="102">
        <f>H129*I129*J129</f>
        <v>17360</v>
      </c>
      <c r="F129" s="102">
        <f t="shared" si="20"/>
        <v>0</v>
      </c>
      <c r="G129" s="103"/>
      <c r="H129" s="133">
        <v>140</v>
      </c>
      <c r="I129" s="134">
        <v>62</v>
      </c>
      <c r="J129" s="135">
        <v>2</v>
      </c>
      <c r="K129" s="136">
        <f t="shared" si="21"/>
        <v>0</v>
      </c>
      <c r="L129" s="30"/>
      <c r="M129" s="30"/>
    </row>
    <row r="130" spans="1:13" ht="15">
      <c r="A130" s="98"/>
      <c r="B130" s="254" t="s">
        <v>490</v>
      </c>
      <c r="C130" s="255"/>
      <c r="D130" s="255"/>
      <c r="E130" s="256"/>
      <c r="F130" s="104">
        <f>SUM(F121:F129)</f>
        <v>142972</v>
      </c>
      <c r="G130" s="103"/>
      <c r="H130" s="137"/>
      <c r="I130" s="137"/>
      <c r="J130" s="138"/>
      <c r="K130" s="139"/>
      <c r="L130" s="30"/>
      <c r="M130" s="30"/>
    </row>
    <row r="131" spans="1:13" ht="15">
      <c r="H131" s="126"/>
      <c r="I131" s="126"/>
      <c r="J131" s="126"/>
      <c r="K131" s="126"/>
      <c r="L131" s="30"/>
      <c r="M131" s="30"/>
    </row>
    <row r="132" spans="1:13" ht="15">
      <c r="A132" s="94"/>
      <c r="B132" s="252" t="s">
        <v>537</v>
      </c>
      <c r="C132" s="253"/>
      <c r="D132" s="95" t="s">
        <v>213</v>
      </c>
      <c r="E132" s="95" t="s">
        <v>2</v>
      </c>
      <c r="F132" s="96" t="s">
        <v>550</v>
      </c>
      <c r="G132" s="97"/>
      <c r="H132" s="225" t="s">
        <v>385</v>
      </c>
      <c r="I132" s="225" t="s">
        <v>386</v>
      </c>
      <c r="J132" s="225" t="s">
        <v>387</v>
      </c>
      <c r="K132" s="225" t="s">
        <v>388</v>
      </c>
      <c r="L132" s="30"/>
      <c r="M132" s="30"/>
    </row>
    <row r="133" spans="1:13" ht="75">
      <c r="A133" s="98"/>
      <c r="B133" s="99" t="s">
        <v>278</v>
      </c>
      <c r="C133" s="100" t="s">
        <v>279</v>
      </c>
      <c r="D133" s="101">
        <v>3</v>
      </c>
      <c r="E133" s="102">
        <f>H133*I133*J133</f>
        <v>19840</v>
      </c>
      <c r="F133" s="102">
        <f>E133*D133</f>
        <v>59520</v>
      </c>
      <c r="G133" s="103"/>
      <c r="H133" s="129">
        <v>320</v>
      </c>
      <c r="I133" s="130">
        <v>62</v>
      </c>
      <c r="J133" s="131">
        <v>1</v>
      </c>
      <c r="K133" s="132">
        <f>H133*D133</f>
        <v>960</v>
      </c>
      <c r="L133" s="30"/>
      <c r="M133" s="30"/>
    </row>
    <row r="134" spans="1:13" ht="77.25" hidden="1" customHeight="1">
      <c r="A134" s="98"/>
      <c r="B134" s="99" t="s">
        <v>280</v>
      </c>
      <c r="C134" s="100" t="s">
        <v>281</v>
      </c>
      <c r="D134" s="101">
        <v>0</v>
      </c>
      <c r="E134" s="102">
        <f>H134*I134*J134</f>
        <v>43400</v>
      </c>
      <c r="F134" s="102">
        <f>E134*D134</f>
        <v>0</v>
      </c>
      <c r="G134" s="103"/>
      <c r="H134" s="129">
        <v>700</v>
      </c>
      <c r="I134" s="130">
        <v>62</v>
      </c>
      <c r="J134" s="131">
        <v>1</v>
      </c>
      <c r="K134" s="132">
        <f>H134*D134</f>
        <v>0</v>
      </c>
      <c r="L134" s="30"/>
      <c r="M134" s="30"/>
    </row>
    <row r="135" spans="1:13" ht="74.25" customHeight="1">
      <c r="A135" s="98"/>
      <c r="B135" s="99" t="s">
        <v>282</v>
      </c>
      <c r="C135" s="100" t="s">
        <v>283</v>
      </c>
      <c r="D135" s="101">
        <v>1</v>
      </c>
      <c r="E135" s="102">
        <f>H135*I135*J135</f>
        <v>95170</v>
      </c>
      <c r="F135" s="102">
        <f>E135*D135</f>
        <v>95170</v>
      </c>
      <c r="G135" s="103"/>
      <c r="H135" s="129">
        <v>1535</v>
      </c>
      <c r="I135" s="130">
        <v>62</v>
      </c>
      <c r="J135" s="131">
        <v>1</v>
      </c>
      <c r="K135" s="132">
        <f>H135*D135</f>
        <v>1535</v>
      </c>
      <c r="L135" s="30"/>
      <c r="M135" s="30"/>
    </row>
    <row r="136" spans="1:13">
      <c r="A136" s="98"/>
      <c r="B136" s="99" t="s">
        <v>284</v>
      </c>
      <c r="C136" s="100" t="s">
        <v>285</v>
      </c>
      <c r="D136" s="101">
        <v>1</v>
      </c>
      <c r="E136" s="102">
        <f t="shared" ref="E136:E143" si="22">H136*I136*J136</f>
        <v>7440</v>
      </c>
      <c r="F136" s="102">
        <f t="shared" ref="F136:F144" si="23">E136*D136</f>
        <v>7440</v>
      </c>
      <c r="G136" s="103"/>
      <c r="H136" s="129">
        <v>120</v>
      </c>
      <c r="I136" s="130">
        <v>62</v>
      </c>
      <c r="J136" s="131">
        <v>1</v>
      </c>
      <c r="K136" s="132">
        <f t="shared" ref="K136:K144" si="24">H136*D136</f>
        <v>120</v>
      </c>
      <c r="L136" s="30"/>
      <c r="M136" s="30"/>
    </row>
    <row r="137" spans="1:13" ht="45" hidden="1">
      <c r="A137" s="98"/>
      <c r="B137" s="99" t="s">
        <v>286</v>
      </c>
      <c r="C137" s="100" t="s">
        <v>287</v>
      </c>
      <c r="D137" s="101">
        <v>0</v>
      </c>
      <c r="E137" s="102">
        <f t="shared" si="22"/>
        <v>11904</v>
      </c>
      <c r="F137" s="102">
        <f t="shared" si="23"/>
        <v>0</v>
      </c>
      <c r="G137" s="103"/>
      <c r="H137" s="129">
        <v>192</v>
      </c>
      <c r="I137" s="130">
        <v>62</v>
      </c>
      <c r="J137" s="131">
        <v>1</v>
      </c>
      <c r="K137" s="132">
        <f t="shared" si="24"/>
        <v>0</v>
      </c>
      <c r="L137" s="30"/>
      <c r="M137" s="30"/>
    </row>
    <row r="138" spans="1:13">
      <c r="A138" s="98"/>
      <c r="B138" s="99" t="s">
        <v>538</v>
      </c>
      <c r="C138" s="100" t="s">
        <v>289</v>
      </c>
      <c r="D138" s="101">
        <v>1</v>
      </c>
      <c r="E138" s="102">
        <f t="shared" si="22"/>
        <v>34100</v>
      </c>
      <c r="F138" s="102">
        <f t="shared" si="23"/>
        <v>34100</v>
      </c>
      <c r="G138" s="103"/>
      <c r="H138" s="129">
        <v>550</v>
      </c>
      <c r="I138" s="130">
        <v>62</v>
      </c>
      <c r="J138" s="131">
        <v>1</v>
      </c>
      <c r="K138" s="132">
        <f t="shared" si="24"/>
        <v>550</v>
      </c>
      <c r="L138" s="30"/>
      <c r="M138" s="30"/>
    </row>
    <row r="139" spans="1:13" ht="63" customHeight="1">
      <c r="A139" s="98"/>
      <c r="B139" s="99" t="s">
        <v>290</v>
      </c>
      <c r="C139" s="100" t="s">
        <v>291</v>
      </c>
      <c r="D139" s="101">
        <v>1</v>
      </c>
      <c r="E139" s="102">
        <f t="shared" si="22"/>
        <v>22320</v>
      </c>
      <c r="F139" s="102">
        <f t="shared" si="23"/>
        <v>22320</v>
      </c>
      <c r="G139" s="103"/>
      <c r="H139" s="129">
        <v>360</v>
      </c>
      <c r="I139" s="130">
        <v>62</v>
      </c>
      <c r="J139" s="131">
        <v>1</v>
      </c>
      <c r="K139" s="132">
        <f t="shared" si="24"/>
        <v>360</v>
      </c>
      <c r="L139" s="30"/>
      <c r="M139" s="30"/>
    </row>
    <row r="140" spans="1:13" ht="17.25" customHeight="1">
      <c r="A140" s="98"/>
      <c r="B140" s="99" t="s">
        <v>292</v>
      </c>
      <c r="C140" s="100" t="s">
        <v>293</v>
      </c>
      <c r="D140" s="101">
        <v>1</v>
      </c>
      <c r="E140" s="102">
        <f t="shared" si="22"/>
        <v>31000</v>
      </c>
      <c r="F140" s="102">
        <f t="shared" si="23"/>
        <v>31000</v>
      </c>
      <c r="G140" s="103"/>
      <c r="H140" s="129">
        <v>500</v>
      </c>
      <c r="I140" s="130">
        <v>62</v>
      </c>
      <c r="J140" s="131">
        <v>1</v>
      </c>
      <c r="K140" s="132">
        <f t="shared" si="24"/>
        <v>500</v>
      </c>
      <c r="L140" s="30"/>
      <c r="M140" s="30"/>
    </row>
    <row r="141" spans="1:13" ht="20.25" customHeight="1">
      <c r="A141" s="98"/>
      <c r="B141" s="99" t="s">
        <v>294</v>
      </c>
      <c r="C141" s="100" t="s">
        <v>539</v>
      </c>
      <c r="D141" s="101">
        <v>1</v>
      </c>
      <c r="E141" s="102">
        <f t="shared" si="22"/>
        <v>25200</v>
      </c>
      <c r="F141" s="102">
        <f t="shared" si="23"/>
        <v>25200</v>
      </c>
      <c r="G141" s="103"/>
      <c r="H141" s="133">
        <v>400</v>
      </c>
      <c r="I141" s="130">
        <v>63</v>
      </c>
      <c r="J141" s="131">
        <v>1</v>
      </c>
      <c r="K141" s="136">
        <f t="shared" si="24"/>
        <v>400</v>
      </c>
      <c r="L141" s="30"/>
      <c r="M141" s="30"/>
    </row>
    <row r="142" spans="1:13">
      <c r="A142" s="98"/>
      <c r="B142" s="99" t="s">
        <v>296</v>
      </c>
      <c r="C142" s="100" t="s">
        <v>540</v>
      </c>
      <c r="D142" s="101">
        <v>2</v>
      </c>
      <c r="E142" s="102">
        <f t="shared" si="22"/>
        <v>12800</v>
      </c>
      <c r="F142" s="102">
        <f t="shared" si="23"/>
        <v>25600</v>
      </c>
      <c r="G142" s="103"/>
      <c r="H142" s="133">
        <v>200</v>
      </c>
      <c r="I142" s="130">
        <v>64</v>
      </c>
      <c r="J142" s="131">
        <v>1</v>
      </c>
      <c r="K142" s="136">
        <f t="shared" si="24"/>
        <v>400</v>
      </c>
      <c r="L142" s="30"/>
      <c r="M142" s="30"/>
    </row>
    <row r="143" spans="1:13" ht="15" hidden="1">
      <c r="A143" s="98"/>
      <c r="B143" s="99" t="s">
        <v>298</v>
      </c>
      <c r="C143" s="100" t="s">
        <v>299</v>
      </c>
      <c r="D143" s="101">
        <v>0</v>
      </c>
      <c r="E143" s="102">
        <f t="shared" si="22"/>
        <v>39000</v>
      </c>
      <c r="F143" s="102">
        <f t="shared" si="23"/>
        <v>0</v>
      </c>
      <c r="G143" s="103"/>
      <c r="H143" s="133">
        <v>600</v>
      </c>
      <c r="I143" s="130">
        <v>65</v>
      </c>
      <c r="J143" s="131">
        <v>1</v>
      </c>
      <c r="K143" s="136">
        <f t="shared" si="24"/>
        <v>0</v>
      </c>
      <c r="L143" s="30"/>
      <c r="M143" s="30"/>
    </row>
    <row r="144" spans="1:13" hidden="1">
      <c r="A144" s="98"/>
      <c r="B144" s="99" t="s">
        <v>300</v>
      </c>
      <c r="C144" s="100" t="s">
        <v>301</v>
      </c>
      <c r="D144" s="101">
        <v>0</v>
      </c>
      <c r="E144" s="102">
        <f>H144*I144*J144</f>
        <v>24800</v>
      </c>
      <c r="F144" s="102">
        <f t="shared" si="23"/>
        <v>0</v>
      </c>
      <c r="G144" s="103"/>
      <c r="H144" s="133">
        <v>400</v>
      </c>
      <c r="I144" s="134">
        <v>62</v>
      </c>
      <c r="J144" s="135">
        <v>1</v>
      </c>
      <c r="K144" s="136">
        <f t="shared" si="24"/>
        <v>0</v>
      </c>
      <c r="L144" s="30"/>
      <c r="M144" s="30"/>
    </row>
    <row r="145" spans="1:13" ht="15">
      <c r="A145" s="98"/>
      <c r="B145" s="254" t="s">
        <v>490</v>
      </c>
      <c r="C145" s="255"/>
      <c r="D145" s="255"/>
      <c r="E145" s="256"/>
      <c r="F145" s="104">
        <f>SUM(F133:F144)</f>
        <v>300350</v>
      </c>
      <c r="G145" s="103"/>
      <c r="H145" s="137"/>
      <c r="I145" s="137"/>
      <c r="J145" s="138"/>
      <c r="K145" s="139"/>
      <c r="L145" s="30"/>
      <c r="M145" s="30"/>
    </row>
    <row r="146" spans="1:13" ht="15">
      <c r="H146" s="126"/>
      <c r="I146" s="126"/>
      <c r="J146" s="126"/>
      <c r="K146" s="126"/>
      <c r="L146" s="30"/>
      <c r="M146" s="30"/>
    </row>
    <row r="147" spans="1:13" ht="15">
      <c r="A147" s="94"/>
      <c r="B147" s="252" t="s">
        <v>517</v>
      </c>
      <c r="C147" s="253"/>
      <c r="D147" s="95" t="s">
        <v>213</v>
      </c>
      <c r="E147" s="95" t="s">
        <v>2</v>
      </c>
      <c r="F147" s="96" t="s">
        <v>550</v>
      </c>
      <c r="G147" s="97"/>
      <c r="H147" s="225" t="s">
        <v>385</v>
      </c>
      <c r="I147" s="225" t="s">
        <v>386</v>
      </c>
      <c r="J147" s="225" t="s">
        <v>387</v>
      </c>
      <c r="K147" s="225" t="s">
        <v>388</v>
      </c>
      <c r="L147" s="30"/>
      <c r="M147" s="30"/>
    </row>
    <row r="148" spans="1:13" ht="150.75" customHeight="1">
      <c r="A148" s="98"/>
      <c r="B148" s="99" t="s">
        <v>303</v>
      </c>
      <c r="C148" s="100" t="s">
        <v>304</v>
      </c>
      <c r="D148" s="101">
        <v>6</v>
      </c>
      <c r="E148" s="102">
        <f>H148*I148*J148</f>
        <v>160208</v>
      </c>
      <c r="F148" s="102">
        <f>E148*D148</f>
        <v>961248</v>
      </c>
      <c r="G148" s="103"/>
      <c r="H148" s="129">
        <v>1292</v>
      </c>
      <c r="I148" s="130">
        <v>62</v>
      </c>
      <c r="J148" s="131">
        <v>2</v>
      </c>
      <c r="K148" s="132">
        <f>H148*D148</f>
        <v>7752</v>
      </c>
      <c r="L148" s="30"/>
      <c r="M148" s="30"/>
    </row>
    <row r="149" spans="1:13">
      <c r="A149" s="98"/>
      <c r="B149" s="99" t="s">
        <v>305</v>
      </c>
      <c r="C149" s="100" t="s">
        <v>306</v>
      </c>
      <c r="D149" s="101">
        <v>6</v>
      </c>
      <c r="E149" s="102">
        <f>H149*I149*J149</f>
        <v>18104</v>
      </c>
      <c r="F149" s="102">
        <f>E149*D149</f>
        <v>108624</v>
      </c>
      <c r="G149" s="103"/>
      <c r="H149" s="129">
        <v>146</v>
      </c>
      <c r="I149" s="130">
        <v>62</v>
      </c>
      <c r="J149" s="131">
        <v>2</v>
      </c>
      <c r="K149" s="132">
        <f>H149*D149</f>
        <v>876</v>
      </c>
      <c r="L149" s="30"/>
      <c r="M149" s="30"/>
    </row>
    <row r="150" spans="1:13" hidden="1">
      <c r="A150" s="98"/>
      <c r="B150" s="99" t="s">
        <v>307</v>
      </c>
      <c r="C150" s="100" t="s">
        <v>308</v>
      </c>
      <c r="D150" s="101">
        <v>0</v>
      </c>
      <c r="E150" s="102">
        <f>H150*I150*J150</f>
        <v>12152</v>
      </c>
      <c r="F150" s="102">
        <f>E150*D150</f>
        <v>0</v>
      </c>
      <c r="G150" s="103"/>
      <c r="H150" s="129">
        <v>98</v>
      </c>
      <c r="I150" s="130">
        <v>62</v>
      </c>
      <c r="J150" s="131">
        <v>2</v>
      </c>
      <c r="K150" s="132">
        <f>H150*D150</f>
        <v>0</v>
      </c>
      <c r="L150" s="30"/>
      <c r="M150" s="30"/>
    </row>
    <row r="151" spans="1:13" ht="15">
      <c r="A151" s="98"/>
      <c r="B151" s="99" t="s">
        <v>309</v>
      </c>
      <c r="C151" s="100" t="s">
        <v>310</v>
      </c>
      <c r="D151" s="101">
        <v>24</v>
      </c>
      <c r="E151" s="102">
        <f t="shared" ref="E151:E159" si="25">H151*I151*J151</f>
        <v>1798</v>
      </c>
      <c r="F151" s="102">
        <f t="shared" ref="F151:F159" si="26">E151*D151</f>
        <v>43152</v>
      </c>
      <c r="G151" s="103"/>
      <c r="H151" s="129">
        <v>29</v>
      </c>
      <c r="I151" s="130">
        <v>62</v>
      </c>
      <c r="J151" s="131">
        <v>1</v>
      </c>
      <c r="K151" s="132">
        <f t="shared" ref="K151:K159" si="27">H151*D151</f>
        <v>696</v>
      </c>
      <c r="L151" s="30"/>
      <c r="M151" s="30"/>
    </row>
    <row r="152" spans="1:13" ht="75" hidden="1">
      <c r="A152" s="98"/>
      <c r="B152" s="99" t="s">
        <v>311</v>
      </c>
      <c r="C152" s="100" t="s">
        <v>312</v>
      </c>
      <c r="D152" s="101">
        <v>0</v>
      </c>
      <c r="E152" s="102">
        <f t="shared" si="25"/>
        <v>22940</v>
      </c>
      <c r="F152" s="102">
        <f t="shared" si="26"/>
        <v>0</v>
      </c>
      <c r="G152" s="103"/>
      <c r="H152" s="129">
        <v>185</v>
      </c>
      <c r="I152" s="130">
        <v>62</v>
      </c>
      <c r="J152" s="131">
        <v>2</v>
      </c>
      <c r="K152" s="132">
        <f t="shared" si="27"/>
        <v>0</v>
      </c>
      <c r="L152" s="30"/>
      <c r="M152" s="30"/>
    </row>
    <row r="153" spans="1:13" ht="30.75" customHeight="1">
      <c r="A153" s="98"/>
      <c r="B153" s="99" t="s">
        <v>518</v>
      </c>
      <c r="C153" s="100" t="s">
        <v>519</v>
      </c>
      <c r="D153" s="101">
        <v>6</v>
      </c>
      <c r="E153" s="102">
        <f t="shared" ref="E153" si="28">H153*I153*J153</f>
        <v>30256</v>
      </c>
      <c r="F153" s="102">
        <f t="shared" ref="F153" si="29">E153*D153</f>
        <v>181536</v>
      </c>
      <c r="G153" s="103"/>
      <c r="H153" s="129">
        <v>244</v>
      </c>
      <c r="I153" s="130">
        <v>62</v>
      </c>
      <c r="J153" s="131">
        <v>2</v>
      </c>
      <c r="K153" s="132">
        <f t="shared" ref="K153" si="30">H153*D153</f>
        <v>1464</v>
      </c>
      <c r="L153" s="30"/>
      <c r="M153" s="30"/>
    </row>
    <row r="154" spans="1:13" ht="30.75" hidden="1" customHeight="1">
      <c r="A154" s="98"/>
      <c r="B154" s="99" t="s">
        <v>313</v>
      </c>
      <c r="C154" s="100" t="s">
        <v>314</v>
      </c>
      <c r="D154" s="101">
        <v>0</v>
      </c>
      <c r="E154" s="102">
        <f t="shared" si="25"/>
        <v>33728</v>
      </c>
      <c r="F154" s="102">
        <f t="shared" si="26"/>
        <v>0</v>
      </c>
      <c r="G154" s="103"/>
      <c r="H154" s="129">
        <v>272</v>
      </c>
      <c r="I154" s="130">
        <v>62</v>
      </c>
      <c r="J154" s="131">
        <v>2</v>
      </c>
      <c r="K154" s="132">
        <f t="shared" si="27"/>
        <v>0</v>
      </c>
      <c r="L154" s="30"/>
      <c r="M154" s="30"/>
    </row>
    <row r="155" spans="1:13">
      <c r="A155" s="98"/>
      <c r="B155" s="99" t="s">
        <v>315</v>
      </c>
      <c r="C155" s="100" t="s">
        <v>316</v>
      </c>
      <c r="D155" s="101">
        <v>6</v>
      </c>
      <c r="E155" s="102">
        <f t="shared" si="25"/>
        <v>7936</v>
      </c>
      <c r="F155" s="102">
        <f t="shared" si="26"/>
        <v>47616</v>
      </c>
      <c r="G155" s="103"/>
      <c r="H155" s="129">
        <v>64</v>
      </c>
      <c r="I155" s="130">
        <v>62</v>
      </c>
      <c r="J155" s="131">
        <v>2</v>
      </c>
      <c r="K155" s="132">
        <f t="shared" si="27"/>
        <v>384</v>
      </c>
      <c r="L155" s="30"/>
      <c r="M155" s="30"/>
    </row>
    <row r="156" spans="1:13" ht="45">
      <c r="A156" s="98"/>
      <c r="B156" s="99" t="s">
        <v>317</v>
      </c>
      <c r="C156" s="100" t="s">
        <v>318</v>
      </c>
      <c r="D156" s="101">
        <v>6</v>
      </c>
      <c r="E156" s="102">
        <f t="shared" si="25"/>
        <v>9052</v>
      </c>
      <c r="F156" s="102">
        <f t="shared" si="26"/>
        <v>54312</v>
      </c>
      <c r="G156" s="103"/>
      <c r="H156" s="129">
        <v>73</v>
      </c>
      <c r="I156" s="130">
        <v>62</v>
      </c>
      <c r="J156" s="131">
        <v>2</v>
      </c>
      <c r="K156" s="132">
        <f t="shared" si="27"/>
        <v>438</v>
      </c>
      <c r="L156" s="30"/>
      <c r="M156" s="30"/>
    </row>
    <row r="157" spans="1:13" ht="15">
      <c r="A157" s="98"/>
      <c r="B157" s="99" t="s">
        <v>319</v>
      </c>
      <c r="C157" s="100" t="s">
        <v>320</v>
      </c>
      <c r="D157" s="101">
        <v>6</v>
      </c>
      <c r="E157" s="102">
        <f t="shared" si="25"/>
        <v>8060</v>
      </c>
      <c r="F157" s="102">
        <f t="shared" si="26"/>
        <v>48360</v>
      </c>
      <c r="G157" s="103"/>
      <c r="H157" s="129">
        <v>65</v>
      </c>
      <c r="I157" s="130">
        <v>62</v>
      </c>
      <c r="J157" s="131">
        <v>2</v>
      </c>
      <c r="K157" s="132">
        <f t="shared" si="27"/>
        <v>390</v>
      </c>
      <c r="L157" s="30"/>
      <c r="M157" s="30"/>
    </row>
    <row r="158" spans="1:13" ht="15" hidden="1">
      <c r="A158" s="98"/>
      <c r="B158" s="99" t="s">
        <v>321</v>
      </c>
      <c r="C158" s="100" t="s">
        <v>322</v>
      </c>
      <c r="D158" s="101">
        <v>0</v>
      </c>
      <c r="E158" s="102">
        <f t="shared" si="25"/>
        <v>22134</v>
      </c>
      <c r="F158" s="102">
        <f t="shared" si="26"/>
        <v>0</v>
      </c>
      <c r="G158" s="103"/>
      <c r="H158" s="133">
        <v>238</v>
      </c>
      <c r="I158" s="130">
        <v>62</v>
      </c>
      <c r="J158" s="131">
        <v>1.5</v>
      </c>
      <c r="K158" s="136">
        <f t="shared" si="27"/>
        <v>0</v>
      </c>
      <c r="L158" s="30"/>
      <c r="M158" s="30"/>
    </row>
    <row r="159" spans="1:13" ht="15" hidden="1">
      <c r="A159" s="98"/>
      <c r="B159" s="99" t="s">
        <v>323</v>
      </c>
      <c r="C159" s="100" t="s">
        <v>324</v>
      </c>
      <c r="D159" s="101">
        <v>0</v>
      </c>
      <c r="E159" s="102">
        <f t="shared" si="25"/>
        <v>2356</v>
      </c>
      <c r="F159" s="102">
        <f t="shared" si="26"/>
        <v>0</v>
      </c>
      <c r="G159" s="103"/>
      <c r="H159" s="133">
        <v>38</v>
      </c>
      <c r="I159" s="130">
        <v>62</v>
      </c>
      <c r="J159" s="131">
        <v>1</v>
      </c>
      <c r="K159" s="136">
        <f t="shared" si="27"/>
        <v>0</v>
      </c>
      <c r="L159" s="30"/>
      <c r="M159" s="30"/>
    </row>
    <row r="160" spans="1:13" ht="15">
      <c r="A160" s="98"/>
      <c r="B160" s="254" t="s">
        <v>490</v>
      </c>
      <c r="C160" s="255"/>
      <c r="D160" s="255"/>
      <c r="E160" s="256"/>
      <c r="F160" s="104">
        <f>SUM(F148:F159)</f>
        <v>1444848</v>
      </c>
      <c r="G160" s="103"/>
      <c r="H160" s="137"/>
      <c r="I160" s="137"/>
      <c r="J160" s="138"/>
      <c r="K160" s="139"/>
      <c r="L160" s="30"/>
      <c r="M160" s="30"/>
    </row>
    <row r="161" spans="1:13" s="169" customFormat="1" ht="15">
      <c r="A161" s="98"/>
      <c r="B161" s="213"/>
      <c r="C161" s="213"/>
      <c r="D161" s="213"/>
      <c r="E161" s="213"/>
      <c r="F161" s="214"/>
      <c r="G161" s="103"/>
      <c r="H161" s="76"/>
      <c r="I161" s="76"/>
      <c r="J161" s="167"/>
      <c r="K161" s="168"/>
      <c r="L161" s="50"/>
      <c r="M161" s="50"/>
    </row>
    <row r="162" spans="1:13" ht="15" customHeight="1">
      <c r="A162" s="98"/>
      <c r="B162" s="252" t="s">
        <v>542</v>
      </c>
      <c r="C162" s="253"/>
      <c r="D162" s="95" t="s">
        <v>213</v>
      </c>
      <c r="E162" s="95" t="s">
        <v>2</v>
      </c>
      <c r="F162" s="96" t="s">
        <v>550</v>
      </c>
      <c r="G162" s="103"/>
      <c r="H162" s="210"/>
      <c r="I162" s="210"/>
      <c r="J162" s="211"/>
      <c r="K162" s="212"/>
      <c r="L162" s="30"/>
      <c r="M162" s="30"/>
    </row>
    <row r="163" spans="1:13" ht="90">
      <c r="A163" s="98"/>
      <c r="B163" s="99" t="s">
        <v>543</v>
      </c>
      <c r="C163" s="100" t="s">
        <v>548</v>
      </c>
      <c r="D163" s="101">
        <v>2</v>
      </c>
      <c r="E163" s="102">
        <f t="shared" ref="E163" si="31">H163*I163*J163</f>
        <v>122760</v>
      </c>
      <c r="F163" s="102">
        <f t="shared" ref="F163" si="32">E163*D163</f>
        <v>245520</v>
      </c>
      <c r="G163" s="103"/>
      <c r="H163" s="221">
        <v>990</v>
      </c>
      <c r="I163" s="226">
        <v>62</v>
      </c>
      <c r="J163" s="227">
        <v>2</v>
      </c>
      <c r="K163" s="224">
        <f t="shared" ref="K163" si="33">H163*D163</f>
        <v>1980</v>
      </c>
      <c r="L163" s="30"/>
      <c r="M163" s="30"/>
    </row>
    <row r="164" spans="1:13" ht="15">
      <c r="A164" s="98"/>
      <c r="B164" s="254" t="s">
        <v>490</v>
      </c>
      <c r="C164" s="255"/>
      <c r="D164" s="255"/>
      <c r="E164" s="256"/>
      <c r="F164" s="104">
        <f>F163</f>
        <v>245520</v>
      </c>
      <c r="G164" s="103"/>
      <c r="H164" s="210"/>
      <c r="I164" s="210"/>
      <c r="J164" s="211"/>
      <c r="K164" s="212"/>
      <c r="L164" s="30"/>
      <c r="M164" s="30"/>
    </row>
    <row r="165" spans="1:13" s="169" customFormat="1" ht="15">
      <c r="A165" s="98"/>
      <c r="B165" s="213"/>
      <c r="C165" s="213"/>
      <c r="D165" s="213"/>
      <c r="E165" s="213"/>
      <c r="F165" s="214"/>
      <c r="G165" s="103"/>
      <c r="H165" s="76"/>
      <c r="I165" s="76"/>
      <c r="J165" s="167"/>
      <c r="K165" s="168"/>
      <c r="L165" s="50"/>
      <c r="M165" s="50"/>
    </row>
    <row r="166" spans="1:13" ht="15">
      <c r="A166" s="98"/>
      <c r="B166" s="252" t="s">
        <v>541</v>
      </c>
      <c r="C166" s="253"/>
      <c r="D166" s="95" t="s">
        <v>213</v>
      </c>
      <c r="E166" s="95" t="s">
        <v>2</v>
      </c>
      <c r="F166" s="96" t="s">
        <v>550</v>
      </c>
      <c r="G166" s="103"/>
      <c r="H166" s="210"/>
      <c r="I166" s="210"/>
      <c r="J166" s="211"/>
      <c r="K166" s="212"/>
      <c r="L166" s="30"/>
      <c r="M166" s="30"/>
    </row>
    <row r="167" spans="1:13" ht="15">
      <c r="A167" s="98"/>
      <c r="B167" s="99" t="s">
        <v>321</v>
      </c>
      <c r="C167" s="100" t="s">
        <v>322</v>
      </c>
      <c r="D167" s="101">
        <v>6</v>
      </c>
      <c r="E167" s="102">
        <f t="shared" ref="E167:E168" si="34">H167*I167*J167</f>
        <v>22134</v>
      </c>
      <c r="F167" s="102">
        <f t="shared" ref="F167:F168" si="35">E167*D167</f>
        <v>132804</v>
      </c>
      <c r="G167" s="103"/>
      <c r="H167" s="221">
        <v>238</v>
      </c>
      <c r="I167" s="222">
        <v>62</v>
      </c>
      <c r="J167" s="223">
        <v>1.5</v>
      </c>
      <c r="K167" s="224">
        <f t="shared" ref="K167:K168" si="36">H167*D167</f>
        <v>1428</v>
      </c>
      <c r="L167" s="30"/>
      <c r="M167" s="30"/>
    </row>
    <row r="168" spans="1:13" ht="15">
      <c r="A168" s="98"/>
      <c r="B168" s="99" t="s">
        <v>323</v>
      </c>
      <c r="C168" s="100" t="s">
        <v>324</v>
      </c>
      <c r="D168" s="101">
        <v>12</v>
      </c>
      <c r="E168" s="102">
        <f t="shared" si="34"/>
        <v>2356</v>
      </c>
      <c r="F168" s="102">
        <f t="shared" si="35"/>
        <v>28272</v>
      </c>
      <c r="G168" s="103"/>
      <c r="H168" s="221">
        <v>38</v>
      </c>
      <c r="I168" s="222">
        <v>62</v>
      </c>
      <c r="J168" s="223">
        <v>1</v>
      </c>
      <c r="K168" s="224">
        <f t="shared" si="36"/>
        <v>456</v>
      </c>
      <c r="L168" s="30"/>
      <c r="M168" s="30"/>
    </row>
    <row r="169" spans="1:13" ht="15">
      <c r="A169" s="98"/>
      <c r="B169" s="208"/>
      <c r="C169" s="208"/>
      <c r="D169" s="208"/>
      <c r="E169" s="208" t="s">
        <v>490</v>
      </c>
      <c r="F169" s="209">
        <f>SUM(F167:F168)</f>
        <v>161076</v>
      </c>
      <c r="G169" s="103"/>
      <c r="H169" s="210"/>
      <c r="I169" s="210"/>
      <c r="J169" s="211"/>
      <c r="K169" s="212"/>
      <c r="L169" s="30"/>
      <c r="M169" s="30"/>
    </row>
    <row r="170" spans="1:13" ht="15">
      <c r="H170" s="126"/>
      <c r="I170" s="126"/>
      <c r="J170" s="126"/>
      <c r="K170" s="126"/>
      <c r="L170" s="30"/>
      <c r="M170" s="30"/>
    </row>
    <row r="171" spans="1:13" ht="15">
      <c r="A171" s="94"/>
      <c r="B171" s="252" t="s">
        <v>325</v>
      </c>
      <c r="C171" s="253"/>
      <c r="D171" s="95" t="s">
        <v>213</v>
      </c>
      <c r="E171" s="95" t="s">
        <v>2</v>
      </c>
      <c r="F171" s="96" t="s">
        <v>550</v>
      </c>
      <c r="G171" s="97"/>
      <c r="H171" s="225" t="s">
        <v>385</v>
      </c>
      <c r="I171" s="225" t="s">
        <v>386</v>
      </c>
      <c r="J171" s="225" t="s">
        <v>387</v>
      </c>
      <c r="K171" s="225" t="s">
        <v>388</v>
      </c>
      <c r="L171" s="30"/>
      <c r="M171" s="30"/>
    </row>
    <row r="172" spans="1:13" ht="15">
      <c r="A172" s="98"/>
      <c r="B172" s="257" t="s">
        <v>326</v>
      </c>
      <c r="C172" s="258"/>
      <c r="D172" s="101">
        <v>3</v>
      </c>
      <c r="E172" s="102">
        <v>10000</v>
      </c>
      <c r="F172" s="102">
        <f t="shared" ref="F172:F176" si="37">E172*D172</f>
        <v>30000</v>
      </c>
      <c r="G172" s="103"/>
      <c r="H172" s="129"/>
      <c r="I172" s="130"/>
      <c r="J172" s="131"/>
      <c r="K172" s="132"/>
      <c r="L172" s="30"/>
      <c r="M172" s="30"/>
    </row>
    <row r="173" spans="1:13" ht="15">
      <c r="A173" s="98"/>
      <c r="B173" s="257" t="s">
        <v>327</v>
      </c>
      <c r="C173" s="258"/>
      <c r="D173" s="101">
        <v>3</v>
      </c>
      <c r="E173" s="102">
        <v>10000</v>
      </c>
      <c r="F173" s="102">
        <f t="shared" si="37"/>
        <v>30000</v>
      </c>
      <c r="G173" s="103"/>
      <c r="H173" s="129"/>
      <c r="I173" s="130"/>
      <c r="J173" s="131"/>
      <c r="K173" s="132"/>
      <c r="L173" s="30"/>
      <c r="M173" s="30"/>
    </row>
    <row r="174" spans="1:13" ht="15">
      <c r="A174" s="98"/>
      <c r="B174" s="257" t="s">
        <v>328</v>
      </c>
      <c r="C174" s="258"/>
      <c r="D174" s="101">
        <v>6</v>
      </c>
      <c r="E174" s="102">
        <v>5000</v>
      </c>
      <c r="F174" s="102">
        <f t="shared" si="37"/>
        <v>30000</v>
      </c>
      <c r="G174" s="103"/>
      <c r="H174" s="129"/>
      <c r="I174" s="130"/>
      <c r="J174" s="131"/>
      <c r="K174" s="132"/>
      <c r="L174" s="30"/>
      <c r="M174" s="30"/>
    </row>
    <row r="175" spans="1:13" ht="15" hidden="1">
      <c r="A175" s="98"/>
      <c r="B175" s="257" t="s">
        <v>329</v>
      </c>
      <c r="C175" s="258"/>
      <c r="D175" s="101">
        <v>0</v>
      </c>
      <c r="E175" s="102">
        <v>10000</v>
      </c>
      <c r="F175" s="102">
        <f t="shared" si="37"/>
        <v>0</v>
      </c>
      <c r="G175" s="103"/>
      <c r="H175" s="133"/>
      <c r="I175" s="130"/>
      <c r="J175" s="131"/>
      <c r="K175" s="136"/>
      <c r="L175" s="30"/>
      <c r="M175" s="30"/>
    </row>
    <row r="176" spans="1:13" ht="15">
      <c r="A176" s="98"/>
      <c r="B176" s="257" t="s">
        <v>330</v>
      </c>
      <c r="C176" s="258"/>
      <c r="D176" s="101">
        <v>3</v>
      </c>
      <c r="E176" s="102">
        <v>10000</v>
      </c>
      <c r="F176" s="102">
        <f t="shared" si="37"/>
        <v>30000</v>
      </c>
      <c r="G176" s="103"/>
      <c r="H176" s="133"/>
      <c r="I176" s="130"/>
      <c r="J176" s="131"/>
      <c r="K176" s="136"/>
      <c r="L176" s="30"/>
      <c r="M176" s="30"/>
    </row>
    <row r="177" spans="1:13" ht="15">
      <c r="A177" s="98"/>
      <c r="B177" s="254" t="s">
        <v>490</v>
      </c>
      <c r="C177" s="255"/>
      <c r="D177" s="255"/>
      <c r="E177" s="256"/>
      <c r="F177" s="104">
        <f>SUM(F172:F176)</f>
        <v>120000</v>
      </c>
      <c r="G177" s="103"/>
      <c r="H177" s="137"/>
      <c r="I177" s="137"/>
      <c r="J177" s="138"/>
      <c r="K177" s="139"/>
      <c r="L177" s="30"/>
      <c r="M177" s="30"/>
    </row>
    <row r="178" spans="1:13" ht="15">
      <c r="H178" s="126"/>
      <c r="I178" s="126"/>
      <c r="J178" s="126"/>
      <c r="K178" s="126"/>
      <c r="L178" s="30"/>
      <c r="M178" s="30"/>
    </row>
    <row r="179" spans="1:13" ht="15">
      <c r="A179" s="94"/>
      <c r="B179" s="252" t="s">
        <v>331</v>
      </c>
      <c r="C179" s="259"/>
      <c r="D179" s="259"/>
      <c r="E179" s="253"/>
      <c r="F179" s="96"/>
      <c r="G179" s="97"/>
      <c r="H179" s="225" t="s">
        <v>385</v>
      </c>
      <c r="I179" s="225" t="s">
        <v>386</v>
      </c>
      <c r="J179" s="225" t="s">
        <v>387</v>
      </c>
      <c r="K179" s="225" t="s">
        <v>388</v>
      </c>
      <c r="L179" s="30"/>
      <c r="M179" s="30"/>
    </row>
    <row r="180" spans="1:13" ht="15">
      <c r="A180" s="98"/>
      <c r="B180" s="257" t="s">
        <v>332</v>
      </c>
      <c r="C180" s="260"/>
      <c r="D180" s="260"/>
      <c r="E180" s="258"/>
      <c r="F180" s="105"/>
      <c r="G180" s="103"/>
      <c r="H180" s="129"/>
      <c r="I180" s="130"/>
      <c r="J180" s="131"/>
      <c r="K180" s="132"/>
      <c r="L180" s="30"/>
      <c r="M180" s="30"/>
    </row>
    <row r="181" spans="1:13" ht="15">
      <c r="A181" s="98"/>
      <c r="B181" s="219" t="s">
        <v>544</v>
      </c>
      <c r="C181" s="220"/>
      <c r="D181" s="207"/>
      <c r="E181" s="206"/>
      <c r="F181" s="105"/>
      <c r="G181" s="103"/>
      <c r="H181" s="215"/>
      <c r="I181" s="216"/>
      <c r="J181" s="217"/>
      <c r="K181" s="218"/>
      <c r="L181" s="30"/>
      <c r="M181" s="30"/>
    </row>
    <row r="182" spans="1:13" ht="15">
      <c r="A182" s="98"/>
      <c r="B182" s="254" t="s">
        <v>490</v>
      </c>
      <c r="C182" s="255"/>
      <c r="D182" s="255"/>
      <c r="E182" s="256"/>
      <c r="F182" s="104">
        <v>0</v>
      </c>
      <c r="G182" s="103"/>
      <c r="H182" s="137"/>
      <c r="I182" s="137"/>
      <c r="J182" s="138"/>
      <c r="K182" s="139"/>
      <c r="L182" s="30"/>
      <c r="M182" s="30"/>
    </row>
    <row r="183" spans="1:13" ht="15">
      <c r="H183" s="126"/>
      <c r="I183" s="126"/>
      <c r="J183" s="126"/>
      <c r="K183" s="126"/>
      <c r="L183" s="30"/>
      <c r="M183" s="30"/>
    </row>
    <row r="184" spans="1:13" ht="15">
      <c r="B184" s="264" t="s">
        <v>545</v>
      </c>
      <c r="C184" s="265"/>
      <c r="D184" s="265"/>
      <c r="E184" s="265"/>
      <c r="F184" s="108">
        <f>F182+F177+F169+F160+F145+F130+F100+F72+F66</f>
        <v>3931162</v>
      </c>
      <c r="H184" s="126"/>
      <c r="I184" s="126"/>
      <c r="J184" s="126"/>
      <c r="K184" s="126"/>
      <c r="L184" s="30"/>
      <c r="M184" s="30"/>
    </row>
    <row r="185" spans="1:13" ht="15">
      <c r="H185" s="126"/>
      <c r="I185" s="126"/>
      <c r="J185" s="126"/>
      <c r="K185" s="126"/>
      <c r="L185" s="30"/>
      <c r="M185" s="30"/>
    </row>
    <row r="186" spans="1:13" ht="15">
      <c r="A186" s="94"/>
      <c r="B186" s="252" t="s">
        <v>333</v>
      </c>
      <c r="C186" s="253"/>
      <c r="D186" s="95" t="s">
        <v>213</v>
      </c>
      <c r="E186" s="95" t="s">
        <v>2</v>
      </c>
      <c r="F186" s="96" t="s">
        <v>550</v>
      </c>
      <c r="G186" s="97"/>
      <c r="H186" s="225" t="s">
        <v>385</v>
      </c>
      <c r="I186" s="225" t="s">
        <v>386</v>
      </c>
      <c r="J186" s="225" t="s">
        <v>387</v>
      </c>
      <c r="K186" s="225" t="s">
        <v>388</v>
      </c>
      <c r="L186" s="30"/>
      <c r="M186" s="30"/>
    </row>
    <row r="187" spans="1:13" hidden="1">
      <c r="A187" s="98"/>
      <c r="B187" s="99" t="s">
        <v>334</v>
      </c>
      <c r="C187" s="100" t="s">
        <v>335</v>
      </c>
      <c r="D187" s="101">
        <v>0</v>
      </c>
      <c r="E187" s="102">
        <v>6500</v>
      </c>
      <c r="F187" s="102">
        <f>E187*D187</f>
        <v>0</v>
      </c>
      <c r="G187" s="103"/>
      <c r="H187" s="129"/>
      <c r="I187" s="130"/>
      <c r="J187" s="131"/>
      <c r="K187" s="132"/>
      <c r="L187" s="30"/>
      <c r="M187" s="30"/>
    </row>
    <row r="188" spans="1:13" ht="15">
      <c r="A188" s="98"/>
      <c r="B188" s="99" t="s">
        <v>336</v>
      </c>
      <c r="C188" s="100" t="s">
        <v>337</v>
      </c>
      <c r="D188" s="101">
        <v>10</v>
      </c>
      <c r="E188" s="102">
        <v>1100</v>
      </c>
      <c r="F188" s="102">
        <f>E188*D188</f>
        <v>11000</v>
      </c>
      <c r="G188" s="103"/>
      <c r="H188" s="129"/>
      <c r="I188" s="130"/>
      <c r="J188" s="131"/>
      <c r="K188" s="132"/>
      <c r="L188" s="30"/>
      <c r="M188" s="30"/>
    </row>
    <row r="189" spans="1:13">
      <c r="A189" s="98"/>
      <c r="B189" s="99" t="s">
        <v>338</v>
      </c>
      <c r="C189" s="100" t="s">
        <v>339</v>
      </c>
      <c r="D189" s="101">
        <v>10</v>
      </c>
      <c r="E189" s="102">
        <v>124</v>
      </c>
      <c r="F189" s="102">
        <f>E189*D189</f>
        <v>1240</v>
      </c>
      <c r="G189" s="103"/>
      <c r="H189" s="129"/>
      <c r="I189" s="130"/>
      <c r="J189" s="131"/>
      <c r="K189" s="132"/>
      <c r="L189" s="30"/>
      <c r="M189" s="30"/>
    </row>
    <row r="190" spans="1:13" ht="15">
      <c r="A190" s="98"/>
      <c r="B190" s="99" t="s">
        <v>340</v>
      </c>
      <c r="C190" s="100" t="s">
        <v>341</v>
      </c>
      <c r="D190" s="101">
        <v>100</v>
      </c>
      <c r="E190" s="102">
        <v>223.2</v>
      </c>
      <c r="F190" s="102">
        <f t="shared" ref="F190:F191" si="38">E190*D190</f>
        <v>22320</v>
      </c>
      <c r="G190" s="103"/>
      <c r="H190" s="129"/>
      <c r="I190" s="130"/>
      <c r="J190" s="131"/>
      <c r="K190" s="132"/>
      <c r="L190" s="30"/>
      <c r="M190" s="30"/>
    </row>
    <row r="191" spans="1:13" ht="15" hidden="1">
      <c r="A191" s="98"/>
      <c r="B191" s="99" t="s">
        <v>342</v>
      </c>
      <c r="C191" s="100" t="s">
        <v>343</v>
      </c>
      <c r="D191" s="101">
        <v>0</v>
      </c>
      <c r="E191" s="102">
        <v>325</v>
      </c>
      <c r="F191" s="102">
        <f t="shared" si="38"/>
        <v>0</v>
      </c>
      <c r="G191" s="103"/>
      <c r="H191" s="129"/>
      <c r="I191" s="130"/>
      <c r="J191" s="131"/>
      <c r="K191" s="132"/>
      <c r="L191" s="30"/>
      <c r="M191" s="30"/>
    </row>
    <row r="192" spans="1:13" ht="15">
      <c r="A192" s="98"/>
      <c r="B192" s="254"/>
      <c r="C192" s="255"/>
      <c r="D192" s="255"/>
      <c r="E192" s="256"/>
      <c r="F192" s="109">
        <f>SUM(F187:F191)</f>
        <v>34560</v>
      </c>
      <c r="G192" s="103"/>
      <c r="H192" s="137"/>
      <c r="I192" s="137"/>
      <c r="J192" s="138"/>
      <c r="K192" s="139"/>
      <c r="L192" s="30"/>
      <c r="M192" s="30"/>
    </row>
    <row r="193" spans="1:13" ht="15">
      <c r="H193" s="126"/>
      <c r="I193" s="126"/>
      <c r="J193" s="126"/>
      <c r="K193" s="126"/>
      <c r="L193" s="30"/>
      <c r="M193" s="30"/>
    </row>
    <row r="194" spans="1:13" ht="15" hidden="1">
      <c r="A194" s="94"/>
      <c r="B194" s="252" t="s">
        <v>344</v>
      </c>
      <c r="C194" s="253"/>
      <c r="D194" s="95" t="s">
        <v>213</v>
      </c>
      <c r="E194" s="95" t="s">
        <v>2</v>
      </c>
      <c r="F194" s="96" t="s">
        <v>214</v>
      </c>
      <c r="G194" s="97"/>
      <c r="H194" s="127" t="s">
        <v>385</v>
      </c>
      <c r="I194" s="127" t="s">
        <v>386</v>
      </c>
      <c r="J194" s="127" t="s">
        <v>387</v>
      </c>
      <c r="K194" s="127" t="s">
        <v>388</v>
      </c>
      <c r="L194" s="30"/>
      <c r="M194" s="30"/>
    </row>
    <row r="195" spans="1:13" ht="60" hidden="1">
      <c r="A195" s="98"/>
      <c r="B195" s="99" t="s">
        <v>345</v>
      </c>
      <c r="C195" s="100" t="s">
        <v>346</v>
      </c>
      <c r="D195" s="101">
        <v>1</v>
      </c>
      <c r="E195" s="102">
        <v>70000</v>
      </c>
      <c r="F195" s="102">
        <f>E195*D195</f>
        <v>70000</v>
      </c>
      <c r="G195" s="103"/>
      <c r="H195" s="129"/>
      <c r="I195" s="130"/>
      <c r="J195" s="131"/>
      <c r="K195" s="132"/>
      <c r="L195" s="30"/>
      <c r="M195" s="30"/>
    </row>
    <row r="196" spans="1:13" ht="60" hidden="1">
      <c r="A196" s="98"/>
      <c r="B196" s="99" t="s">
        <v>347</v>
      </c>
      <c r="C196" s="100" t="s">
        <v>346</v>
      </c>
      <c r="D196" s="101">
        <v>1</v>
      </c>
      <c r="E196" s="102">
        <v>100000</v>
      </c>
      <c r="F196" s="102">
        <f>E196*D196</f>
        <v>100000</v>
      </c>
      <c r="G196" s="103"/>
      <c r="H196" s="129"/>
      <c r="I196" s="130"/>
      <c r="J196" s="131"/>
      <c r="K196" s="132"/>
      <c r="L196" s="30"/>
      <c r="M196" s="30"/>
    </row>
    <row r="197" spans="1:13" ht="15" hidden="1">
      <c r="A197" s="98"/>
      <c r="B197" s="254"/>
      <c r="C197" s="255"/>
      <c r="D197" s="255"/>
      <c r="E197" s="256"/>
      <c r="F197" s="109"/>
      <c r="G197" s="103"/>
      <c r="H197" s="137"/>
      <c r="I197" s="137"/>
      <c r="J197" s="138"/>
      <c r="K197" s="139"/>
      <c r="L197" s="30"/>
      <c r="M197" s="30"/>
    </row>
    <row r="198" spans="1:13" ht="15" hidden="1">
      <c r="H198" s="126"/>
      <c r="I198" s="126"/>
      <c r="J198" s="126"/>
      <c r="K198" s="126"/>
      <c r="L198" s="30"/>
      <c r="M198" s="30"/>
    </row>
    <row r="199" spans="1:13" ht="15" hidden="1">
      <c r="B199" s="59" t="s">
        <v>348</v>
      </c>
      <c r="H199" s="126"/>
      <c r="I199" s="126"/>
      <c r="J199" s="126"/>
      <c r="K199" s="126"/>
      <c r="L199" s="30"/>
      <c r="M199" s="30"/>
    </row>
    <row r="200" spans="1:13" ht="15" hidden="1">
      <c r="H200" s="126"/>
      <c r="I200" s="126"/>
      <c r="J200" s="126"/>
      <c r="K200" s="126"/>
      <c r="L200" s="30"/>
      <c r="M200" s="30"/>
    </row>
    <row r="201" spans="1:13" ht="15" hidden="1">
      <c r="A201" s="94"/>
      <c r="B201" s="252" t="s">
        <v>349</v>
      </c>
      <c r="C201" s="253"/>
      <c r="D201" s="95" t="s">
        <v>213</v>
      </c>
      <c r="E201" s="95" t="s">
        <v>2</v>
      </c>
      <c r="F201" s="96" t="s">
        <v>214</v>
      </c>
      <c r="G201" s="97"/>
      <c r="H201" s="127" t="s">
        <v>385</v>
      </c>
      <c r="I201" s="127" t="s">
        <v>386</v>
      </c>
      <c r="J201" s="127" t="s">
        <v>387</v>
      </c>
      <c r="K201" s="127" t="s">
        <v>388</v>
      </c>
      <c r="L201" s="30"/>
      <c r="M201" s="30"/>
    </row>
    <row r="202" spans="1:13" ht="15" hidden="1">
      <c r="A202" s="98"/>
      <c r="B202" s="99" t="s">
        <v>350</v>
      </c>
      <c r="C202" s="100" t="s">
        <v>351</v>
      </c>
      <c r="D202" s="101">
        <v>1</v>
      </c>
      <c r="E202" s="102">
        <f>H202*I202*J202</f>
        <v>854074.8</v>
      </c>
      <c r="F202" s="102">
        <f>E202*D202</f>
        <v>854074.8</v>
      </c>
      <c r="G202" s="103"/>
      <c r="H202" s="129">
        <v>7653</v>
      </c>
      <c r="I202" s="130">
        <v>62</v>
      </c>
      <c r="J202" s="131">
        <v>1.8</v>
      </c>
      <c r="K202" s="132">
        <f>H202*D202</f>
        <v>7653</v>
      </c>
      <c r="L202" s="30"/>
      <c r="M202" s="30"/>
    </row>
    <row r="203" spans="1:13" ht="15" hidden="1">
      <c r="A203" s="98"/>
      <c r="B203" s="99" t="s">
        <v>352</v>
      </c>
      <c r="C203" s="100" t="s">
        <v>353</v>
      </c>
      <c r="D203" s="101">
        <v>1</v>
      </c>
      <c r="E203" s="102">
        <f>H203*I203*J203</f>
        <v>107136</v>
      </c>
      <c r="F203" s="102">
        <f>E203*D203</f>
        <v>107136</v>
      </c>
      <c r="G203" s="103"/>
      <c r="H203" s="129">
        <v>960</v>
      </c>
      <c r="I203" s="130">
        <v>62</v>
      </c>
      <c r="J203" s="131">
        <v>1.8</v>
      </c>
      <c r="K203" s="132">
        <f>H203*D203</f>
        <v>960</v>
      </c>
      <c r="L203" s="30"/>
      <c r="M203" s="30"/>
    </row>
    <row r="204" spans="1:13" ht="15" hidden="1">
      <c r="A204" s="98"/>
      <c r="B204" s="99" t="s">
        <v>354</v>
      </c>
      <c r="C204" s="100" t="s">
        <v>355</v>
      </c>
      <c r="D204" s="101">
        <v>1</v>
      </c>
      <c r="E204" s="102">
        <f>H204*I204*J204</f>
        <v>84816</v>
      </c>
      <c r="F204" s="102">
        <f>E204*D204</f>
        <v>84816</v>
      </c>
      <c r="G204" s="103"/>
      <c r="H204" s="129">
        <v>760</v>
      </c>
      <c r="I204" s="130">
        <v>62</v>
      </c>
      <c r="J204" s="131">
        <v>1.8</v>
      </c>
      <c r="K204" s="132">
        <f>H204*D204</f>
        <v>760</v>
      </c>
      <c r="L204" s="30"/>
      <c r="M204" s="30"/>
    </row>
    <row r="205" spans="1:13" hidden="1">
      <c r="A205" s="98"/>
      <c r="B205" s="99" t="s">
        <v>356</v>
      </c>
      <c r="C205" s="100" t="s">
        <v>357</v>
      </c>
      <c r="D205" s="101">
        <v>1</v>
      </c>
      <c r="E205" s="102">
        <f t="shared" ref="E205:E208" si="39">H205*I205*J205</f>
        <v>209808</v>
      </c>
      <c r="F205" s="102">
        <f t="shared" ref="F205:F208" si="40">E205*D205</f>
        <v>209808</v>
      </c>
      <c r="G205" s="103"/>
      <c r="H205" s="129">
        <v>1880</v>
      </c>
      <c r="I205" s="130">
        <v>62</v>
      </c>
      <c r="J205" s="131">
        <v>1.8</v>
      </c>
      <c r="K205" s="132">
        <f t="shared" ref="K205:K208" si="41">H205*D205</f>
        <v>1880</v>
      </c>
      <c r="L205" s="30"/>
      <c r="M205" s="30"/>
    </row>
    <row r="206" spans="1:13" ht="15" hidden="1">
      <c r="A206" s="98"/>
      <c r="B206" s="99" t="s">
        <v>358</v>
      </c>
      <c r="C206" s="100" t="s">
        <v>359</v>
      </c>
      <c r="D206" s="101">
        <v>1</v>
      </c>
      <c r="E206" s="102">
        <f t="shared" si="39"/>
        <v>84927.6</v>
      </c>
      <c r="F206" s="102">
        <f t="shared" si="40"/>
        <v>84927.6</v>
      </c>
      <c r="G206" s="103"/>
      <c r="H206" s="129">
        <v>761</v>
      </c>
      <c r="I206" s="130">
        <v>62</v>
      </c>
      <c r="J206" s="131">
        <v>1.8</v>
      </c>
      <c r="K206" s="132">
        <f t="shared" si="41"/>
        <v>761</v>
      </c>
      <c r="L206" s="30"/>
      <c r="M206" s="30"/>
    </row>
    <row r="207" spans="1:13" hidden="1">
      <c r="A207" s="98"/>
      <c r="B207" s="99" t="s">
        <v>360</v>
      </c>
      <c r="C207" s="100" t="s">
        <v>361</v>
      </c>
      <c r="D207" s="101">
        <v>1</v>
      </c>
      <c r="E207" s="102">
        <f t="shared" si="39"/>
        <v>112716</v>
      </c>
      <c r="F207" s="102">
        <f t="shared" si="40"/>
        <v>112716</v>
      </c>
      <c r="G207" s="103"/>
      <c r="H207" s="129">
        <v>1010</v>
      </c>
      <c r="I207" s="130">
        <v>62</v>
      </c>
      <c r="J207" s="131">
        <v>1.8</v>
      </c>
      <c r="K207" s="132">
        <f t="shared" si="41"/>
        <v>1010</v>
      </c>
      <c r="L207" s="30"/>
      <c r="M207" s="30"/>
    </row>
    <row r="208" spans="1:13" ht="15" hidden="1">
      <c r="A208" s="98"/>
      <c r="B208" s="99" t="s">
        <v>362</v>
      </c>
      <c r="C208" s="100" t="s">
        <v>363</v>
      </c>
      <c r="D208" s="101">
        <v>1</v>
      </c>
      <c r="E208" s="102">
        <f t="shared" si="39"/>
        <v>47541.599999999999</v>
      </c>
      <c r="F208" s="102">
        <f t="shared" si="40"/>
        <v>47541.599999999999</v>
      </c>
      <c r="G208" s="103"/>
      <c r="H208" s="129">
        <v>426</v>
      </c>
      <c r="I208" s="130">
        <v>62</v>
      </c>
      <c r="J208" s="131">
        <v>1.8</v>
      </c>
      <c r="K208" s="132">
        <f t="shared" si="41"/>
        <v>426</v>
      </c>
      <c r="L208" s="30"/>
      <c r="M208" s="30"/>
    </row>
    <row r="209" spans="1:13" ht="15" hidden="1">
      <c r="A209" s="98"/>
      <c r="B209" s="254" t="s">
        <v>245</v>
      </c>
      <c r="C209" s="255"/>
      <c r="D209" s="255"/>
      <c r="E209" s="256"/>
      <c r="F209" s="104">
        <f>SUM(F202:F208)</f>
        <v>1501020.0000000002</v>
      </c>
      <c r="G209" s="103"/>
      <c r="H209" s="137"/>
      <c r="I209" s="137"/>
      <c r="J209" s="138"/>
      <c r="K209" s="139"/>
      <c r="L209" s="30"/>
      <c r="M209" s="30"/>
    </row>
    <row r="210" spans="1:13" ht="15" hidden="1">
      <c r="H210" s="126"/>
      <c r="I210" s="126"/>
      <c r="J210" s="126"/>
      <c r="K210" s="126"/>
      <c r="L210" s="30"/>
      <c r="M210" s="30"/>
    </row>
    <row r="211" spans="1:13" ht="15" hidden="1">
      <c r="A211" s="94"/>
      <c r="B211" s="252" t="s">
        <v>364</v>
      </c>
      <c r="C211" s="253"/>
      <c r="D211" s="95" t="s">
        <v>213</v>
      </c>
      <c r="E211" s="95" t="s">
        <v>2</v>
      </c>
      <c r="F211" s="96" t="s">
        <v>214</v>
      </c>
      <c r="G211" s="97"/>
      <c r="H211" s="127" t="s">
        <v>385</v>
      </c>
      <c r="I211" s="127" t="s">
        <v>386</v>
      </c>
      <c r="J211" s="127" t="s">
        <v>387</v>
      </c>
      <c r="K211" s="127" t="s">
        <v>388</v>
      </c>
      <c r="L211" s="30"/>
      <c r="M211" s="30"/>
    </row>
    <row r="212" spans="1:13" hidden="1">
      <c r="A212" s="98"/>
      <c r="B212" s="99" t="s">
        <v>365</v>
      </c>
      <c r="C212" s="100" t="s">
        <v>366</v>
      </c>
      <c r="D212" s="101">
        <v>1</v>
      </c>
      <c r="E212" s="102">
        <f>H212*I212*J212</f>
        <v>62496</v>
      </c>
      <c r="F212" s="102">
        <f>E212*D212</f>
        <v>62496</v>
      </c>
      <c r="G212" s="103"/>
      <c r="H212" s="129">
        <v>560</v>
      </c>
      <c r="I212" s="130">
        <v>62</v>
      </c>
      <c r="J212" s="131">
        <v>1.8</v>
      </c>
      <c r="K212" s="132">
        <f>H212*D212</f>
        <v>560</v>
      </c>
      <c r="L212" s="30"/>
      <c r="M212" s="30"/>
    </row>
    <row r="213" spans="1:13" ht="15" hidden="1">
      <c r="A213" s="98"/>
      <c r="B213" s="99" t="s">
        <v>367</v>
      </c>
      <c r="C213" s="100" t="s">
        <v>368</v>
      </c>
      <c r="D213" s="101">
        <v>1</v>
      </c>
      <c r="E213" s="102">
        <f>H213*I213*J213</f>
        <v>72540</v>
      </c>
      <c r="F213" s="102">
        <f>E213*D213</f>
        <v>72540</v>
      </c>
      <c r="G213" s="103"/>
      <c r="H213" s="129">
        <v>650</v>
      </c>
      <c r="I213" s="130">
        <v>62</v>
      </c>
      <c r="J213" s="131">
        <v>1.8</v>
      </c>
      <c r="K213" s="132">
        <f>H213*D213</f>
        <v>650</v>
      </c>
      <c r="L213" s="30"/>
      <c r="M213" s="30"/>
    </row>
    <row r="214" spans="1:13" hidden="1">
      <c r="A214" s="98"/>
      <c r="B214" s="99" t="s">
        <v>369</v>
      </c>
      <c r="C214" s="100" t="s">
        <v>370</v>
      </c>
      <c r="D214" s="101">
        <v>1</v>
      </c>
      <c r="E214" s="102">
        <f>H214*I214*J214</f>
        <v>311364</v>
      </c>
      <c r="F214" s="102">
        <f>E214*D214</f>
        <v>311364</v>
      </c>
      <c r="G214" s="103"/>
      <c r="H214" s="129">
        <v>2790</v>
      </c>
      <c r="I214" s="130">
        <v>62</v>
      </c>
      <c r="J214" s="131">
        <v>1.8</v>
      </c>
      <c r="K214" s="132">
        <f>H214*D214</f>
        <v>2790</v>
      </c>
      <c r="L214" s="30"/>
      <c r="M214" s="30"/>
    </row>
    <row r="215" spans="1:13" ht="15" hidden="1">
      <c r="A215" s="98"/>
      <c r="B215" s="254" t="s">
        <v>245</v>
      </c>
      <c r="C215" s="255"/>
      <c r="D215" s="255"/>
      <c r="E215" s="256"/>
      <c r="F215" s="104">
        <f>SUM(F212:F214)</f>
        <v>446400</v>
      </c>
      <c r="G215" s="103"/>
      <c r="H215" s="137"/>
      <c r="I215" s="137"/>
      <c r="J215" s="138"/>
      <c r="K215" s="139"/>
      <c r="L215" s="30"/>
      <c r="M215" s="30"/>
    </row>
    <row r="216" spans="1:13" ht="15" hidden="1">
      <c r="H216" s="126"/>
      <c r="I216" s="126"/>
      <c r="J216" s="126"/>
      <c r="K216" s="126"/>
      <c r="L216" s="30"/>
      <c r="M216" s="30"/>
    </row>
    <row r="217" spans="1:13" ht="15" hidden="1">
      <c r="B217" s="30" t="s">
        <v>371</v>
      </c>
      <c r="H217" s="126"/>
      <c r="I217" s="126"/>
      <c r="J217" s="126"/>
      <c r="K217" s="126"/>
      <c r="L217" s="30"/>
      <c r="M217" s="30"/>
    </row>
    <row r="218" spans="1:13" ht="15" hidden="1">
      <c r="H218" s="126"/>
      <c r="I218" s="126"/>
      <c r="J218" s="126"/>
      <c r="K218" s="126"/>
      <c r="L218" s="30"/>
      <c r="M218" s="30"/>
    </row>
    <row r="219" spans="1:13" ht="15" hidden="1">
      <c r="A219" s="94"/>
      <c r="B219" s="252" t="s">
        <v>372</v>
      </c>
      <c r="C219" s="253"/>
      <c r="D219" s="95" t="s">
        <v>213</v>
      </c>
      <c r="E219" s="95" t="s">
        <v>2</v>
      </c>
      <c r="F219" s="96" t="s">
        <v>214</v>
      </c>
      <c r="G219" s="97"/>
      <c r="H219" s="127" t="s">
        <v>385</v>
      </c>
      <c r="I219" s="127" t="s">
        <v>386</v>
      </c>
      <c r="J219" s="127" t="s">
        <v>387</v>
      </c>
      <c r="K219" s="127" t="s">
        <v>388</v>
      </c>
      <c r="L219" s="30"/>
      <c r="M219" s="30"/>
    </row>
    <row r="220" spans="1:13" ht="135" hidden="1">
      <c r="A220" s="98"/>
      <c r="B220" s="99" t="s">
        <v>373</v>
      </c>
      <c r="C220" s="100" t="s">
        <v>374</v>
      </c>
      <c r="D220" s="101">
        <v>1</v>
      </c>
      <c r="E220" s="102">
        <f>H220*I220*J220</f>
        <v>236034</v>
      </c>
      <c r="F220" s="102">
        <f>E220*D220</f>
        <v>236034</v>
      </c>
      <c r="G220" s="103"/>
      <c r="H220" s="129">
        <v>2115</v>
      </c>
      <c r="I220" s="130">
        <v>62</v>
      </c>
      <c r="J220" s="131">
        <v>1.8</v>
      </c>
      <c r="K220" s="132">
        <f>H220*D220</f>
        <v>2115</v>
      </c>
      <c r="L220" s="30"/>
      <c r="M220" s="30"/>
    </row>
    <row r="221" spans="1:13" ht="135" hidden="1">
      <c r="A221" s="98"/>
      <c r="B221" s="99" t="s">
        <v>375</v>
      </c>
      <c r="C221" s="100" t="s">
        <v>376</v>
      </c>
      <c r="D221" s="101">
        <v>1</v>
      </c>
      <c r="E221" s="102">
        <f>H221*I221*J221</f>
        <v>424080</v>
      </c>
      <c r="F221" s="102">
        <f>E221*D221</f>
        <v>424080</v>
      </c>
      <c r="G221" s="103"/>
      <c r="H221" s="129">
        <v>3800</v>
      </c>
      <c r="I221" s="130">
        <v>62</v>
      </c>
      <c r="J221" s="131">
        <v>1.8</v>
      </c>
      <c r="K221" s="132">
        <f>H221*D221</f>
        <v>3800</v>
      </c>
      <c r="L221" s="30"/>
      <c r="M221" s="30"/>
    </row>
    <row r="222" spans="1:13" hidden="1">
      <c r="A222" s="98"/>
      <c r="B222" s="99" t="s">
        <v>377</v>
      </c>
      <c r="C222" s="100" t="s">
        <v>378</v>
      </c>
      <c r="D222" s="101">
        <v>2</v>
      </c>
      <c r="E222" s="102">
        <f>H222*I222*J222</f>
        <v>89094</v>
      </c>
      <c r="F222" s="102">
        <f>E222*D222</f>
        <v>178188</v>
      </c>
      <c r="G222" s="103"/>
      <c r="H222" s="129">
        <v>958</v>
      </c>
      <c r="I222" s="130">
        <v>62</v>
      </c>
      <c r="J222" s="131">
        <v>1.5</v>
      </c>
      <c r="K222" s="132">
        <f>H222*D222</f>
        <v>1916</v>
      </c>
      <c r="L222" s="30"/>
      <c r="M222" s="30"/>
    </row>
    <row r="223" spans="1:13" ht="15" hidden="1">
      <c r="A223" s="98"/>
      <c r="B223" s="99" t="s">
        <v>379</v>
      </c>
      <c r="C223" s="100" t="s">
        <v>380</v>
      </c>
      <c r="D223" s="101">
        <v>2</v>
      </c>
      <c r="E223" s="102">
        <f t="shared" ref="E223:E224" si="42">H223*I223*J223</f>
        <v>3906</v>
      </c>
      <c r="F223" s="102">
        <f t="shared" ref="F223:F224" si="43">E223*D223</f>
        <v>7812</v>
      </c>
      <c r="G223" s="103"/>
      <c r="H223" s="129">
        <v>35</v>
      </c>
      <c r="I223" s="130">
        <v>62</v>
      </c>
      <c r="J223" s="131">
        <v>1.8</v>
      </c>
      <c r="K223" s="132">
        <f t="shared" ref="K223:K224" si="44">H223*D223</f>
        <v>70</v>
      </c>
      <c r="L223" s="30"/>
      <c r="M223" s="30"/>
    </row>
    <row r="224" spans="1:13" ht="15" hidden="1">
      <c r="A224" s="98"/>
      <c r="B224" s="99" t="s">
        <v>381</v>
      </c>
      <c r="C224" s="100" t="s">
        <v>382</v>
      </c>
      <c r="D224" s="101">
        <v>2</v>
      </c>
      <c r="E224" s="102">
        <f t="shared" si="42"/>
        <v>30355.200000000001</v>
      </c>
      <c r="F224" s="102">
        <f t="shared" si="43"/>
        <v>60710.400000000001</v>
      </c>
      <c r="G224" s="103"/>
      <c r="H224" s="129">
        <v>272</v>
      </c>
      <c r="I224" s="130">
        <v>62</v>
      </c>
      <c r="J224" s="131">
        <v>1.8</v>
      </c>
      <c r="K224" s="132">
        <f t="shared" si="44"/>
        <v>544</v>
      </c>
      <c r="L224" s="30"/>
      <c r="M224" s="30"/>
    </row>
    <row r="225" spans="1:13" ht="15" hidden="1">
      <c r="A225" s="98"/>
      <c r="B225" s="254" t="s">
        <v>245</v>
      </c>
      <c r="C225" s="255"/>
      <c r="D225" s="255"/>
      <c r="E225" s="256"/>
      <c r="F225" s="104">
        <f>SUM(F220:F224)</f>
        <v>906824.4</v>
      </c>
      <c r="G225" s="103"/>
      <c r="H225" s="137"/>
      <c r="I225" s="137"/>
      <c r="J225" s="138"/>
      <c r="K225" s="139"/>
      <c r="L225" s="30"/>
      <c r="M225" s="30"/>
    </row>
    <row r="226" spans="1:13" ht="15" hidden="1">
      <c r="H226" s="126"/>
      <c r="I226" s="126"/>
      <c r="J226" s="126"/>
      <c r="K226" s="126"/>
      <c r="L226" s="30"/>
      <c r="M226" s="30"/>
    </row>
    <row r="227" spans="1:13" ht="15" hidden="1">
      <c r="A227" s="94"/>
      <c r="B227" s="252" t="s">
        <v>383</v>
      </c>
      <c r="C227" s="253"/>
      <c r="D227" s="95" t="s">
        <v>213</v>
      </c>
      <c r="E227" s="95" t="s">
        <v>2</v>
      </c>
      <c r="F227" s="96" t="s">
        <v>214</v>
      </c>
      <c r="G227" s="97"/>
      <c r="H227" s="127" t="s">
        <v>385</v>
      </c>
      <c r="I227" s="127" t="s">
        <v>386</v>
      </c>
      <c r="J227" s="127" t="s">
        <v>387</v>
      </c>
      <c r="K227" s="127" t="s">
        <v>388</v>
      </c>
      <c r="L227" s="30"/>
      <c r="M227" s="30"/>
    </row>
    <row r="228" spans="1:13" ht="15" hidden="1">
      <c r="A228" s="98"/>
      <c r="B228" s="99" t="s">
        <v>237</v>
      </c>
      <c r="C228" s="100" t="s">
        <v>238</v>
      </c>
      <c r="D228" s="101">
        <v>2</v>
      </c>
      <c r="E228" s="102">
        <f t="shared" ref="E228:E229" si="45">H228*I228*J228</f>
        <v>128786.40000000001</v>
      </c>
      <c r="F228" s="102">
        <f t="shared" ref="F228:F229" si="46">E228*D228</f>
        <v>257572.80000000002</v>
      </c>
      <c r="G228" s="103"/>
      <c r="H228" s="129">
        <v>1154</v>
      </c>
      <c r="I228" s="130">
        <v>62</v>
      </c>
      <c r="J228" s="131">
        <v>1.8</v>
      </c>
      <c r="K228" s="132">
        <f t="shared" ref="K228:K229" si="47">H228*D228</f>
        <v>2308</v>
      </c>
      <c r="L228" s="30"/>
      <c r="M228" s="30"/>
    </row>
    <row r="229" spans="1:13" hidden="1">
      <c r="A229" s="98"/>
      <c r="B229" s="99" t="s">
        <v>239</v>
      </c>
      <c r="C229" s="100" t="s">
        <v>240</v>
      </c>
      <c r="D229" s="101">
        <v>2</v>
      </c>
      <c r="E229" s="102">
        <f t="shared" si="45"/>
        <v>14284.800000000001</v>
      </c>
      <c r="F229" s="102">
        <f t="shared" si="46"/>
        <v>28569.600000000002</v>
      </c>
      <c r="G229" s="103"/>
      <c r="H229" s="129">
        <v>128</v>
      </c>
      <c r="I229" s="130">
        <v>62</v>
      </c>
      <c r="J229" s="131">
        <v>1.8</v>
      </c>
      <c r="K229" s="132">
        <f t="shared" si="47"/>
        <v>256</v>
      </c>
      <c r="L229" s="30"/>
      <c r="M229" s="30"/>
    </row>
    <row r="230" spans="1:13" ht="15" hidden="1">
      <c r="A230" s="98"/>
      <c r="B230" s="254" t="s">
        <v>245</v>
      </c>
      <c r="C230" s="255"/>
      <c r="D230" s="255"/>
      <c r="E230" s="256"/>
      <c r="F230" s="104">
        <f>SUM(F228:F229)</f>
        <v>286142.40000000002</v>
      </c>
      <c r="G230" s="103"/>
      <c r="H230" s="137"/>
      <c r="I230" s="137"/>
      <c r="J230" s="138"/>
      <c r="K230" s="139"/>
      <c r="L230" s="30"/>
      <c r="M230" s="30"/>
    </row>
    <row r="231" spans="1:13" ht="15"/>
  </sheetData>
  <dataConsolidate/>
  <mergeCells count="59">
    <mergeCell ref="H5:J5"/>
    <mergeCell ref="B1:D1"/>
    <mergeCell ref="B2:D2"/>
    <mergeCell ref="B3:D3"/>
    <mergeCell ref="E3:F3"/>
    <mergeCell ref="B4:D4"/>
    <mergeCell ref="D42:F42"/>
    <mergeCell ref="C6:D6"/>
    <mergeCell ref="H6:J7"/>
    <mergeCell ref="C7:D7"/>
    <mergeCell ref="C8:D8"/>
    <mergeCell ref="C9:D9"/>
    <mergeCell ref="B10:F10"/>
    <mergeCell ref="I10:J10"/>
    <mergeCell ref="H11:K28"/>
    <mergeCell ref="I29:J29"/>
    <mergeCell ref="I30:J30"/>
    <mergeCell ref="I31:J31"/>
    <mergeCell ref="I33:J33"/>
    <mergeCell ref="B160:E160"/>
    <mergeCell ref="B50:C50"/>
    <mergeCell ref="B66:E66"/>
    <mergeCell ref="B74:C74"/>
    <mergeCell ref="B100:E100"/>
    <mergeCell ref="B102:C102"/>
    <mergeCell ref="B118:E118"/>
    <mergeCell ref="B120:C120"/>
    <mergeCell ref="B130:E130"/>
    <mergeCell ref="B132:C132"/>
    <mergeCell ref="B145:E145"/>
    <mergeCell ref="B147:C147"/>
    <mergeCell ref="B230:E230"/>
    <mergeCell ref="B68:C68"/>
    <mergeCell ref="B72:E72"/>
    <mergeCell ref="B166:C166"/>
    <mergeCell ref="B162:C162"/>
    <mergeCell ref="B194:C194"/>
    <mergeCell ref="B197:E197"/>
    <mergeCell ref="B201:C201"/>
    <mergeCell ref="B209:E209"/>
    <mergeCell ref="B211:C211"/>
    <mergeCell ref="B215:E215"/>
    <mergeCell ref="B177:E177"/>
    <mergeCell ref="B179:E179"/>
    <mergeCell ref="B180:E180"/>
    <mergeCell ref="B182:E182"/>
    <mergeCell ref="B186:C186"/>
    <mergeCell ref="B164:E164"/>
    <mergeCell ref="B184:E184"/>
    <mergeCell ref="B219:C219"/>
    <mergeCell ref="B225:E225"/>
    <mergeCell ref="B227:C227"/>
    <mergeCell ref="B192:E192"/>
    <mergeCell ref="B171:C171"/>
    <mergeCell ref="B172:C172"/>
    <mergeCell ref="B173:C173"/>
    <mergeCell ref="B174:C174"/>
    <mergeCell ref="B175:C175"/>
    <mergeCell ref="B176:C176"/>
  </mergeCells>
  <conditionalFormatting sqref="D51:D65 D75:D86 D103:D117 D121:D129 D172:D176 D88:D99">
    <cfRule type="cellIs" dxfId="47" priority="16" operator="equal">
      <formula>0</formula>
    </cfRule>
  </conditionalFormatting>
  <conditionalFormatting sqref="D133:D144">
    <cfRule type="cellIs" dxfId="46" priority="15" operator="equal">
      <formula>0</formula>
    </cfRule>
  </conditionalFormatting>
  <conditionalFormatting sqref="D148:D152 D154:D159">
    <cfRule type="cellIs" dxfId="45" priority="14" operator="equal">
      <formula>0</formula>
    </cfRule>
  </conditionalFormatting>
  <conditionalFormatting sqref="D187:D191">
    <cfRule type="cellIs" dxfId="44" priority="13" operator="equal">
      <formula>0</formula>
    </cfRule>
  </conditionalFormatting>
  <conditionalFormatting sqref="D195:D196">
    <cfRule type="cellIs" dxfId="43" priority="12" operator="equal">
      <formula>0</formula>
    </cfRule>
  </conditionalFormatting>
  <conditionalFormatting sqref="D202:D208">
    <cfRule type="cellIs" dxfId="42" priority="11" operator="equal">
      <formula>0</formula>
    </cfRule>
  </conditionalFormatting>
  <conditionalFormatting sqref="D212:D214">
    <cfRule type="cellIs" dxfId="41" priority="10" operator="equal">
      <formula>0</formula>
    </cfRule>
  </conditionalFormatting>
  <conditionalFormatting sqref="D220:D224">
    <cfRule type="cellIs" dxfId="40" priority="9" operator="equal">
      <formula>0</formula>
    </cfRule>
  </conditionalFormatting>
  <conditionalFormatting sqref="D228:D229">
    <cfRule type="cellIs" dxfId="39" priority="8" operator="equal">
      <formula>0</formula>
    </cfRule>
  </conditionalFormatting>
  <conditionalFormatting sqref="D153">
    <cfRule type="cellIs" dxfId="38" priority="7" operator="equal">
      <formula>0</formula>
    </cfRule>
  </conditionalFormatting>
  <conditionalFormatting sqref="D70">
    <cfRule type="cellIs" dxfId="37" priority="6" operator="equal">
      <formula>0</formula>
    </cfRule>
  </conditionalFormatting>
  <conditionalFormatting sqref="D69">
    <cfRule type="cellIs" dxfId="36" priority="5" operator="equal">
      <formula>0</formula>
    </cfRule>
  </conditionalFormatting>
  <conditionalFormatting sqref="D71">
    <cfRule type="cellIs" dxfId="35" priority="4" operator="equal">
      <formula>0</formula>
    </cfRule>
  </conditionalFormatting>
  <conditionalFormatting sqref="D87">
    <cfRule type="cellIs" dxfId="34" priority="3" operator="equal">
      <formula>0</formula>
    </cfRule>
  </conditionalFormatting>
  <conditionalFormatting sqref="D167:D168">
    <cfRule type="cellIs" dxfId="33" priority="2" operator="equal">
      <formula>0</formula>
    </cfRule>
  </conditionalFormatting>
  <conditionalFormatting sqref="D163">
    <cfRule type="cellIs" dxfId="32" priority="1" operator="equal">
      <formula>0</formula>
    </cfRule>
  </conditionalFormatting>
  <dataValidations count="28">
    <dataValidation allowBlank="1" showInputMessage="1" showErrorMessage="1" prompt="Append company Contact Name, Phone Number, and Email address in this cell" sqref="B40:D40 F40"/>
    <dataValidation allowBlank="1" showInputMessage="1" showErrorMessage="1" prompt="Enter customer Phone number in this cell" sqref="B6:C6"/>
    <dataValidation allowBlank="1" showInputMessage="1" showErrorMessage="1" prompt="Enter customer City, State, and Zip Code in this cell" sqref="B7:C7"/>
    <dataValidation allowBlank="1" showInputMessage="1" showErrorMessage="1" prompt="Enter customer Street Address in this cell" sqref="B5:C5"/>
    <dataValidation allowBlank="1" showInputMessage="1" showErrorMessage="1" prompt="Enter customer Company Name in this cell" sqref="B9:C9"/>
    <dataValidation allowBlank="1" showInputMessage="1" showErrorMessage="1" prompt="Enter customer Name in this cell" sqref="B8:C8"/>
    <dataValidation allowBlank="1" showInputMessage="1" showErrorMessage="1" prompt="Enter company Street Address in this cell" sqref="B2"/>
    <dataValidation allowBlank="1" showInputMessage="1" showErrorMessage="1" prompt="Enter Company Name in this cell and slogan in cell below. Quotation title is in cell at right" sqref="B1:D1"/>
    <dataValidation allowBlank="1" showInputMessage="1" showErrorMessage="1" prompt="Enter Quotation end date in cell at right" sqref="E4"/>
    <dataValidation allowBlank="1" showInputMessage="1" showErrorMessage="1" prompt="Enter Prepared by name in cell at right" sqref="E5"/>
    <dataValidation allowBlank="1" showInputMessage="1" showErrorMessage="1" prompt="Enter Quotation number in this cell" sqref="F2"/>
    <dataValidation allowBlank="1" showInputMessage="1" showErrorMessage="1" prompt="Enter Quotation end date in this cell" sqref="F4"/>
    <dataValidation allowBlank="1" showInputMessage="1" showErrorMessage="1" prompt="Enter Prepared by name in this cell" sqref="F5:F6 F8"/>
    <dataValidation allowBlank="1" showInputMessage="1" showErrorMessage="1" prompt="Enter Tax Rate in this cell" sqref="F30"/>
    <dataValidation allowBlank="1" showInputMessage="1" showErrorMessage="1" prompt="Enter Tax Rate in cell at right" sqref="E30"/>
    <dataValidation allowBlank="1" showInputMessage="1" showErrorMessage="1" prompt="Sales Tax amount is automatically calculated in cell at right" sqref="E31"/>
    <dataValidation allowBlank="1" showInputMessage="1" showErrorMessage="1" prompt="Enter Other amount in cell at right" sqref="E32"/>
    <dataValidation allowBlank="1" showInputMessage="1" showErrorMessage="1" prompt="Total due is automatically calculated in this cell" sqref="F31:F32"/>
    <dataValidation allowBlank="1" showInputMessage="1" showErrorMessage="1" prompt="Total due is automatically calculated in cell at right" sqref="E33:E34"/>
    <dataValidation allowBlank="1" showInputMessage="1" showErrorMessage="1" prompt="Create a Price quote with tax calculation in this worksheet. Enter company, customer, quotation, shipping, and product details. Total due is automatically calculated" sqref="A1"/>
    <dataValidation allowBlank="1" showInputMessage="1" showErrorMessage="1" prompt="Enter 'T' for taxable items in this column under this heading" sqref="E11"/>
    <dataValidation allowBlank="1" showInputMessage="1" showErrorMessage="1" prompt="Amount is automatically calculated in this column under this heading and Subtotal is automatically calculated at the end of the table" sqref="F11"/>
    <dataValidation allowBlank="1" showInputMessage="1" showErrorMessage="1" prompt="Enter Unit Price in this column under this heading" sqref="D11"/>
    <dataValidation allowBlank="1" showInputMessage="1" showErrorMessage="1" prompt="Enter Description in this column under this heading" sqref="C11"/>
    <dataValidation allowBlank="1" showInputMessage="1" showErrorMessage="1" prompt="Enter Quantity in this column under this heading" sqref="B11"/>
    <dataValidation allowBlank="1" showInputMessage="1" showErrorMessage="1" prompt="Enter Comments or Special Instructions in cell at right" sqref="B10"/>
    <dataValidation allowBlank="1" showInputMessage="1" showErrorMessage="1" prompt="Enter customer Name, Company Name, Street Address, and Phone number in cells below, from cell B8 through B12, Quotation end date in cell G7 and Prepared by name in cell G8" sqref="B4:C4"/>
    <dataValidation allowBlank="1" showInputMessage="1" showErrorMessage="1" prompt="Enter company Phone and Fax numbers in this cell" sqref="B3:C3"/>
  </dataValidations>
  <printOptions horizontalCentered="1"/>
  <pageMargins left="0.7" right="0.7" top="0.75" bottom="0.75" header="0.3" footer="0.3"/>
  <pageSetup scale="74" fitToHeight="0" orientation="portrait" r:id="rId1"/>
  <headerFooter differentFirst="1">
    <oddFooter>Page &amp;P of &amp;N</oddFooter>
  </headerFooter>
  <rowBreaks count="1" manualBreakCount="1">
    <brk id="43" max="6" man="1"/>
  </rowBreaks>
  <drawing r:id="rId2"/>
  <legacyDrawing r:id="rId3"/>
  <controls>
    <mc:AlternateContent xmlns:mc="http://schemas.openxmlformats.org/markup-compatibility/2006">
      <mc:Choice Requires="x14">
        <control shapeId="11265" r:id="rId4" name="cmdSendtoDash">
          <controlPr defaultSize="0" autoLine="0" r:id="rId5">
            <anchor moveWithCells="1">
              <from>
                <xdr:col>7</xdr:col>
                <xdr:colOff>304800</xdr:colOff>
                <xdr:row>2</xdr:row>
                <xdr:rowOff>180975</xdr:rowOff>
              </from>
              <to>
                <xdr:col>9</xdr:col>
                <xdr:colOff>361950</xdr:colOff>
                <xdr:row>3</xdr:row>
                <xdr:rowOff>123825</xdr:rowOff>
              </to>
            </anchor>
          </controlPr>
        </control>
      </mc:Choice>
      <mc:Fallback>
        <control shapeId="11265" r:id="rId4" name="cmdSendtoDash"/>
      </mc:Fallback>
    </mc:AlternateContent>
    <mc:AlternateContent xmlns:mc="http://schemas.openxmlformats.org/markup-compatibility/2006">
      <mc:Choice Requires="x14">
        <control shapeId="11266" r:id="rId6" name="cmdRevise">
          <controlPr defaultSize="0" disabled="1" autoLine="0" r:id="rId7">
            <anchor moveWithCells="1">
              <from>
                <xdr:col>7</xdr:col>
                <xdr:colOff>304800</xdr:colOff>
                <xdr:row>6</xdr:row>
                <xdr:rowOff>390525</xdr:rowOff>
              </from>
              <to>
                <xdr:col>9</xdr:col>
                <xdr:colOff>361950</xdr:colOff>
                <xdr:row>8</xdr:row>
                <xdr:rowOff>28575</xdr:rowOff>
              </to>
            </anchor>
          </controlPr>
        </control>
      </mc:Choice>
      <mc:Fallback>
        <control shapeId="11266" r:id="rId6" name="cmdRevise"/>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6"/>
    <pageSetUpPr fitToPage="1"/>
  </sheetPr>
  <dimension ref="A1:M272"/>
  <sheetViews>
    <sheetView showGridLines="0" topLeftCell="A166" zoomScaleNormal="100" zoomScaleSheetLayoutView="100" zoomScalePageLayoutView="55" workbookViewId="0">
      <selection activeCell="D17" sqref="D17"/>
    </sheetView>
  </sheetViews>
  <sheetFormatPr defaultRowHeight="30" customHeight="1"/>
  <cols>
    <col min="1" max="1" width="2.125" style="30" customWidth="1"/>
    <col min="2" max="2" width="19" style="30" customWidth="1"/>
    <col min="3" max="3" width="32.875" style="30" customWidth="1"/>
    <col min="4" max="4" width="9.875" style="30" customWidth="1"/>
    <col min="5" max="6" width="19.125" style="30" customWidth="1"/>
    <col min="7" max="7" width="2.25" style="30" customWidth="1"/>
    <col min="8" max="8" width="13.75" style="112" bestFit="1" customWidth="1"/>
    <col min="9" max="10" width="9" style="112"/>
    <col min="11" max="16384" width="9" style="2"/>
  </cols>
  <sheetData>
    <row r="1" spans="1:13" ht="45.75" customHeight="1">
      <c r="A1" s="29"/>
      <c r="B1" s="236" t="s">
        <v>6</v>
      </c>
      <c r="C1" s="236"/>
      <c r="D1" s="236"/>
      <c r="K1" s="15"/>
    </row>
    <row r="2" spans="1:13" ht="31.5" customHeight="1">
      <c r="B2" s="238" t="s">
        <v>9</v>
      </c>
      <c r="C2" s="238"/>
      <c r="D2" s="238"/>
      <c r="E2" s="31"/>
      <c r="K2" s="15"/>
    </row>
    <row r="3" spans="1:13" ht="30" customHeight="1">
      <c r="B3" s="237" t="s">
        <v>8</v>
      </c>
      <c r="C3" s="237"/>
      <c r="D3" s="237"/>
      <c r="E3" s="243"/>
      <c r="F3" s="243"/>
      <c r="H3" s="147">
        <v>0</v>
      </c>
      <c r="I3" s="113"/>
      <c r="J3" s="114"/>
      <c r="K3" s="15"/>
    </row>
    <row r="4" spans="1:13" ht="15" customHeight="1">
      <c r="B4" s="244" t="s">
        <v>390</v>
      </c>
      <c r="C4" s="244"/>
      <c r="D4" s="244"/>
      <c r="E4" s="32"/>
      <c r="F4" s="33"/>
      <c r="H4" s="115"/>
      <c r="I4" s="116"/>
      <c r="J4" s="117"/>
      <c r="K4" s="15"/>
    </row>
    <row r="5" spans="1:13" ht="15.75">
      <c r="B5" s="34" t="s">
        <v>191</v>
      </c>
      <c r="C5" s="35" t="s">
        <v>508</v>
      </c>
      <c r="D5" s="153"/>
      <c r="E5" s="37" t="s">
        <v>192</v>
      </c>
      <c r="F5" s="111" t="s">
        <v>485</v>
      </c>
      <c r="H5" s="240" t="s">
        <v>161</v>
      </c>
      <c r="I5" s="241"/>
      <c r="J5" s="242"/>
      <c r="K5" s="15"/>
    </row>
    <row r="6" spans="1:13" ht="15">
      <c r="B6" s="38" t="s">
        <v>193</v>
      </c>
      <c r="C6" s="245"/>
      <c r="D6" s="245"/>
      <c r="E6" s="37" t="s">
        <v>194</v>
      </c>
      <c r="F6" s="39">
        <f>F8+90</f>
        <v>43627</v>
      </c>
      <c r="H6" s="240"/>
      <c r="I6" s="241"/>
      <c r="J6" s="242"/>
      <c r="K6" s="15"/>
    </row>
    <row r="7" spans="1:13" ht="39" customHeight="1">
      <c r="B7" s="40" t="s">
        <v>195</v>
      </c>
      <c r="C7" s="246" t="s">
        <v>512</v>
      </c>
      <c r="D7" s="246"/>
      <c r="E7" s="40"/>
      <c r="F7" s="41"/>
      <c r="H7" s="240"/>
      <c r="I7" s="241"/>
      <c r="J7" s="242"/>
      <c r="K7" s="15"/>
    </row>
    <row r="8" spans="1:13" ht="15">
      <c r="B8" s="42" t="s">
        <v>10</v>
      </c>
      <c r="C8" s="247" t="s">
        <v>509</v>
      </c>
      <c r="D8" s="247"/>
      <c r="E8" s="43" t="s">
        <v>14</v>
      </c>
      <c r="F8" s="39">
        <v>43537</v>
      </c>
      <c r="H8" s="115"/>
      <c r="I8" s="116"/>
      <c r="J8" s="117"/>
      <c r="K8" s="15"/>
    </row>
    <row r="9" spans="1:13" ht="15">
      <c r="B9" s="44" t="s">
        <v>196</v>
      </c>
      <c r="C9" s="246"/>
      <c r="D9" s="246"/>
      <c r="H9" s="118"/>
      <c r="I9" s="119"/>
      <c r="J9" s="120"/>
      <c r="K9" s="15"/>
    </row>
    <row r="10" spans="1:13" ht="15" customHeight="1">
      <c r="B10" s="248"/>
      <c r="C10" s="248"/>
      <c r="D10" s="248"/>
      <c r="E10" s="248"/>
      <c r="F10" s="248"/>
      <c r="H10" s="20"/>
      <c r="I10" s="239"/>
      <c r="J10" s="239"/>
      <c r="K10" s="15"/>
    </row>
    <row r="11" spans="1:13" ht="23.25" customHeight="1">
      <c r="B11" s="45" t="s">
        <v>0</v>
      </c>
      <c r="C11" s="45" t="s">
        <v>1</v>
      </c>
      <c r="D11" s="45" t="s">
        <v>11</v>
      </c>
      <c r="E11" s="45" t="s">
        <v>2</v>
      </c>
      <c r="F11" s="45" t="s">
        <v>3</v>
      </c>
      <c r="H11" s="235" t="s">
        <v>461</v>
      </c>
      <c r="I11" s="235"/>
      <c r="J11" s="235"/>
      <c r="K11" s="235"/>
    </row>
    <row r="12" spans="1:13" ht="63.75" customHeight="1">
      <c r="B12" s="46">
        <v>1</v>
      </c>
      <c r="C12" s="30" t="s">
        <v>553</v>
      </c>
      <c r="D12" s="47" t="s">
        <v>510</v>
      </c>
      <c r="E12" s="48">
        <v>4455340</v>
      </c>
      <c r="F12" s="49">
        <f>IFERROR(IF(Quotation106[[#This Row],[QUANTITY]],Quotation106[[#This Row],[QUANTITY]]*Quotation106[[#This Row],[UNIT PRICE]],""),"")</f>
        <v>4455340</v>
      </c>
      <c r="H12" s="235"/>
      <c r="I12" s="235"/>
      <c r="J12" s="235"/>
      <c r="K12" s="235"/>
    </row>
    <row r="13" spans="1:13" ht="30" customHeight="1">
      <c r="B13" s="46"/>
      <c r="C13" s="3"/>
      <c r="D13" s="47"/>
      <c r="E13" s="48"/>
      <c r="F13" s="49" t="str">
        <f>IFERROR(IF(Quotation106[[#This Row],[QUANTITY]],Quotation106[[#This Row],[QUANTITY]]*Quotation106[[#This Row],[UNIT PRICE]],""),"")</f>
        <v/>
      </c>
      <c r="H13" s="235"/>
      <c r="I13" s="235"/>
      <c r="J13" s="235"/>
      <c r="K13" s="235"/>
    </row>
    <row r="14" spans="1:13" ht="19.5" customHeight="1">
      <c r="B14" s="46"/>
      <c r="D14" s="47"/>
      <c r="E14" s="48"/>
      <c r="F14" s="49" t="str">
        <f>IFERROR(IF(Quotation106[[#This Row],[QUANTITY]],Quotation106[[#This Row],[QUANTITY]]*Quotation106[[#This Row],[UNIT PRICE]],""),"")</f>
        <v/>
      </c>
      <c r="H14" s="235"/>
      <c r="I14" s="235"/>
      <c r="J14" s="235"/>
      <c r="K14" s="235"/>
    </row>
    <row r="15" spans="1:13" ht="19.5" customHeight="1">
      <c r="B15" s="46"/>
      <c r="C15" s="50"/>
      <c r="D15" s="47"/>
      <c r="E15" s="48"/>
      <c r="F15" s="49" t="str">
        <f>IFERROR(IF(Quotation106[[#This Row],[QUANTITY]],Quotation106[[#This Row],[QUANTITY]]*Quotation106[[#This Row],[UNIT PRICE]],""),"")</f>
        <v/>
      </c>
      <c r="H15" s="235"/>
      <c r="I15" s="235"/>
      <c r="J15" s="235"/>
      <c r="K15" s="235"/>
      <c r="L15" s="140"/>
      <c r="M15" s="140"/>
    </row>
    <row r="16" spans="1:13" ht="19.5" customHeight="1">
      <c r="B16" s="46"/>
      <c r="C16" s="50"/>
      <c r="D16" s="47"/>
      <c r="E16" s="48"/>
      <c r="F16" s="49" t="str">
        <f>IFERROR(IF(Quotation106[[#This Row],[QUANTITY]],Quotation106[[#This Row],[QUANTITY]]*Quotation106[[#This Row],[UNIT PRICE]],""),"")</f>
        <v/>
      </c>
      <c r="H16" s="235"/>
      <c r="I16" s="235"/>
      <c r="J16" s="235"/>
      <c r="K16" s="235"/>
      <c r="L16" s="140"/>
      <c r="M16" s="140"/>
    </row>
    <row r="17" spans="2:11" ht="19.5" customHeight="1">
      <c r="B17" s="46"/>
      <c r="C17" s="50"/>
      <c r="D17" s="47"/>
      <c r="E17" s="48"/>
      <c r="F17" s="49" t="str">
        <f>IFERROR(IF(Quotation106[[#This Row],[QUANTITY]],Quotation106[[#This Row],[QUANTITY]]*Quotation106[[#This Row],[UNIT PRICE]],""),"")</f>
        <v/>
      </c>
      <c r="H17" s="235"/>
      <c r="I17" s="235"/>
      <c r="J17" s="235"/>
      <c r="K17" s="235"/>
    </row>
    <row r="18" spans="2:11" ht="19.5" customHeight="1">
      <c r="B18" s="46"/>
      <c r="C18" s="50"/>
      <c r="D18" s="47"/>
      <c r="E18" s="48"/>
      <c r="F18" s="49" t="str">
        <f>IFERROR(IF(Quotation106[[#This Row],[QUANTITY]],Quotation106[[#This Row],[QUANTITY]]*Quotation106[[#This Row],[UNIT PRICE]],""),"")</f>
        <v/>
      </c>
      <c r="H18" s="235"/>
      <c r="I18" s="235"/>
      <c r="J18" s="235"/>
      <c r="K18" s="235"/>
    </row>
    <row r="19" spans="2:11" ht="19.5" customHeight="1">
      <c r="B19" s="46"/>
      <c r="C19" s="50"/>
      <c r="D19" s="47"/>
      <c r="E19" s="48"/>
      <c r="F19" s="49" t="str">
        <f>IFERROR(IF(Quotation106[[#This Row],[QUANTITY]],Quotation106[[#This Row],[QUANTITY]]*Quotation106[[#This Row],[UNIT PRICE]],""),"")</f>
        <v/>
      </c>
      <c r="H19" s="235"/>
      <c r="I19" s="235"/>
      <c r="J19" s="235"/>
      <c r="K19" s="235"/>
    </row>
    <row r="20" spans="2:11" ht="19.5" customHeight="1">
      <c r="B20" s="46"/>
      <c r="C20" s="50"/>
      <c r="D20" s="47"/>
      <c r="E20" s="48"/>
      <c r="F20" s="49" t="str">
        <f>IFERROR(IF(Quotation106[[#This Row],[QUANTITY]],Quotation106[[#This Row],[QUANTITY]]*Quotation106[[#This Row],[UNIT PRICE]],""),"")</f>
        <v/>
      </c>
      <c r="H20" s="235"/>
      <c r="I20" s="235"/>
      <c r="J20" s="235"/>
      <c r="K20" s="235"/>
    </row>
    <row r="21" spans="2:11" ht="19.5" customHeight="1">
      <c r="B21" s="46"/>
      <c r="D21" s="47"/>
      <c r="E21" s="48"/>
      <c r="F21" s="49" t="str">
        <f>IFERROR(IF(Quotation106[[#This Row],[QUANTITY]],Quotation106[[#This Row],[QUANTITY]]*Quotation106[[#This Row],[UNIT PRICE]],""),"")</f>
        <v/>
      </c>
      <c r="H21" s="235"/>
      <c r="I21" s="235"/>
      <c r="J21" s="235"/>
      <c r="K21" s="235"/>
    </row>
    <row r="22" spans="2:11" ht="19.5" customHeight="1">
      <c r="B22" s="46"/>
      <c r="C22" s="50"/>
      <c r="D22" s="47"/>
      <c r="E22" s="48"/>
      <c r="F22" s="49" t="str">
        <f>IFERROR(IF(Quotation106[[#This Row],[QUANTITY]],Quotation106[[#This Row],[QUANTITY]]*Quotation106[[#This Row],[UNIT PRICE]],""),"")</f>
        <v/>
      </c>
      <c r="H22" s="235"/>
      <c r="I22" s="235"/>
      <c r="J22" s="235"/>
      <c r="K22" s="235"/>
    </row>
    <row r="23" spans="2:11" ht="19.5" customHeight="1">
      <c r="B23" s="46"/>
      <c r="C23" s="50"/>
      <c r="D23" s="47"/>
      <c r="E23" s="48"/>
      <c r="F23" s="49" t="str">
        <f>IFERROR(IF(Quotation106[[#This Row],[QUANTITY]],Quotation106[[#This Row],[QUANTITY]]*Quotation106[[#This Row],[UNIT PRICE]],""),"")</f>
        <v/>
      </c>
      <c r="H23" s="235"/>
      <c r="I23" s="235"/>
      <c r="J23" s="235"/>
      <c r="K23" s="235"/>
    </row>
    <row r="24" spans="2:11" ht="19.5" customHeight="1">
      <c r="B24" s="46"/>
      <c r="C24" s="50"/>
      <c r="D24" s="47"/>
      <c r="E24" s="48"/>
      <c r="F24" s="49" t="str">
        <f>IFERROR(IF(Quotation106[[#This Row],[QUANTITY]],Quotation106[[#This Row],[QUANTITY]]*Quotation106[[#This Row],[UNIT PRICE]],""),"")</f>
        <v/>
      </c>
      <c r="H24" s="235"/>
      <c r="I24" s="235"/>
      <c r="J24" s="235"/>
      <c r="K24" s="235"/>
    </row>
    <row r="25" spans="2:11" ht="19.5" customHeight="1">
      <c r="B25" s="46"/>
      <c r="C25" s="50"/>
      <c r="D25" s="47"/>
      <c r="E25" s="48"/>
      <c r="F25" s="49" t="str">
        <f>IFERROR(IF(Quotation106[[#This Row],[QUANTITY]],Quotation106[[#This Row],[QUANTITY]]*Quotation106[[#This Row],[UNIT PRICE]],""),"")</f>
        <v/>
      </c>
      <c r="H25" s="235"/>
      <c r="I25" s="235"/>
      <c r="J25" s="235"/>
      <c r="K25" s="235"/>
    </row>
    <row r="26" spans="2:11" ht="19.5" customHeight="1">
      <c r="B26" s="46"/>
      <c r="C26" s="50"/>
      <c r="D26" s="47"/>
      <c r="E26" s="48"/>
      <c r="F26" s="49" t="str">
        <f>IFERROR(IF(Quotation106[[#This Row],[QUANTITY]],Quotation106[[#This Row],[QUANTITY]]*Quotation106[[#This Row],[UNIT PRICE]],""),"")</f>
        <v/>
      </c>
      <c r="H26" s="235"/>
      <c r="I26" s="235"/>
      <c r="J26" s="235"/>
      <c r="K26" s="235"/>
    </row>
    <row r="27" spans="2:11" ht="19.5" customHeight="1">
      <c r="B27" s="46"/>
      <c r="C27" s="50"/>
      <c r="D27" s="47"/>
      <c r="E27" s="48"/>
      <c r="F27" s="49" t="str">
        <f>IFERROR(IF(Quotation106[[#This Row],[QUANTITY]],Quotation106[[#This Row],[QUANTITY]]*Quotation106[[#This Row],[UNIT PRICE]],""),"")</f>
        <v/>
      </c>
      <c r="H27" s="235"/>
      <c r="I27" s="235"/>
      <c r="J27" s="235"/>
      <c r="K27" s="235"/>
    </row>
    <row r="28" spans="2:11" ht="19.5" customHeight="1">
      <c r="B28" s="46"/>
      <c r="D28" s="47"/>
      <c r="E28" s="48"/>
      <c r="F28" s="49" t="str">
        <f>IFERROR(IF(Quotation106[[#This Row],[QUANTITY]],Quotation106[[#This Row],[QUANTITY]]*Quotation106[[#This Row],[UNIT PRICE]],""),"")</f>
        <v/>
      </c>
      <c r="H28" s="235"/>
      <c r="I28" s="235"/>
      <c r="J28" s="235"/>
      <c r="K28" s="235"/>
    </row>
    <row r="29" spans="2:11" ht="19.5" customHeight="1">
      <c r="E29" s="188" t="s">
        <v>214</v>
      </c>
      <c r="F29" s="52">
        <f>IFERROR(IF(B12,SUM(Quotation106[AMOUNT]),""),"")</f>
        <v>4455340</v>
      </c>
      <c r="H29" s="187" t="s">
        <v>384</v>
      </c>
      <c r="I29" s="234" t="str">
        <f>B41</f>
        <v>Walter Uy</v>
      </c>
      <c r="J29" s="234"/>
      <c r="K29" s="15"/>
    </row>
    <row r="30" spans="2:11" ht="19.5" customHeight="1">
      <c r="E30" s="57" t="s">
        <v>7</v>
      </c>
      <c r="F30" s="54">
        <f>Quotation106[[#Totals],[AMOUNT]]*(H30/100)</f>
        <v>0</v>
      </c>
      <c r="H30" s="122">
        <v>0</v>
      </c>
      <c r="I30" s="261" t="s">
        <v>154</v>
      </c>
      <c r="J30" s="261"/>
      <c r="K30" s="15"/>
    </row>
    <row r="31" spans="2:11" ht="19.5" customHeight="1">
      <c r="B31" s="31" t="s">
        <v>507</v>
      </c>
      <c r="C31" s="31"/>
      <c r="E31" s="57" t="s">
        <v>41</v>
      </c>
      <c r="F31" s="56">
        <f>Quotation106[[#Totals],[AMOUNT]]-F30</f>
        <v>4455340</v>
      </c>
      <c r="H31" s="123">
        <f>F42</f>
        <v>0</v>
      </c>
      <c r="I31" s="262">
        <f>F31</f>
        <v>4455340</v>
      </c>
      <c r="J31" s="263"/>
      <c r="K31" s="15"/>
    </row>
    <row r="32" spans="2:11" ht="13.5" customHeight="1">
      <c r="B32" s="30" t="s">
        <v>198</v>
      </c>
      <c r="C32" s="50" t="s">
        <v>199</v>
      </c>
      <c r="E32" s="53"/>
      <c r="F32" s="58"/>
      <c r="H32" s="20"/>
      <c r="I32" s="20"/>
      <c r="J32" s="20"/>
      <c r="K32" s="15"/>
    </row>
    <row r="33" spans="1:11" ht="15">
      <c r="C33" s="50" t="s">
        <v>200</v>
      </c>
      <c r="E33" s="53"/>
      <c r="H33" s="20"/>
      <c r="I33" s="233"/>
      <c r="J33" s="233"/>
      <c r="K33" s="15"/>
    </row>
    <row r="34" spans="1:11" ht="15">
      <c r="C34" s="50" t="s">
        <v>201</v>
      </c>
      <c r="E34" s="53"/>
      <c r="H34" s="20"/>
      <c r="I34" s="20"/>
      <c r="J34" s="20"/>
      <c r="K34" s="15"/>
    </row>
    <row r="35" spans="1:11" ht="13.5" customHeight="1">
      <c r="C35" s="110" t="s">
        <v>202</v>
      </c>
      <c r="E35" s="43"/>
      <c r="H35" s="20"/>
      <c r="I35" s="20"/>
      <c r="J35" s="20"/>
      <c r="K35" s="15"/>
    </row>
    <row r="36" spans="1:11" ht="13.5" customHeight="1">
      <c r="B36" s="30" t="s">
        <v>203</v>
      </c>
      <c r="C36" s="50" t="s">
        <v>204</v>
      </c>
      <c r="E36" s="43"/>
      <c r="K36" s="15"/>
    </row>
    <row r="37" spans="1:11" ht="13.5" customHeight="1">
      <c r="B37" s="30" t="s">
        <v>205</v>
      </c>
      <c r="C37" s="30" t="s">
        <v>511</v>
      </c>
      <c r="E37" s="43"/>
      <c r="K37" s="15"/>
    </row>
    <row r="38" spans="1:11" ht="13.5" customHeight="1">
      <c r="C38" s="59" t="s">
        <v>207</v>
      </c>
      <c r="E38" s="43"/>
      <c r="K38" s="15"/>
    </row>
    <row r="39" spans="1:11" ht="13.5" customHeight="1">
      <c r="K39" s="15"/>
    </row>
    <row r="40" spans="1:11" ht="13.5" customHeight="1">
      <c r="B40" s="60"/>
      <c r="C40" s="61"/>
      <c r="D40" s="60" t="s">
        <v>208</v>
      </c>
      <c r="E40" s="62"/>
      <c r="F40" s="63"/>
      <c r="G40" s="64"/>
      <c r="K40" s="15"/>
    </row>
    <row r="41" spans="1:11" ht="37.5" customHeight="1">
      <c r="A41" s="65"/>
      <c r="B41" s="66" t="s">
        <v>395</v>
      </c>
      <c r="C41" s="67" t="s">
        <v>152</v>
      </c>
      <c r="D41" s="68"/>
      <c r="E41" s="69"/>
      <c r="F41" s="70"/>
      <c r="G41" s="64"/>
      <c r="K41" s="15"/>
    </row>
    <row r="42" spans="1:11" ht="14.25" customHeight="1">
      <c r="A42" s="65"/>
      <c r="B42" s="71" t="s">
        <v>16</v>
      </c>
      <c r="C42" s="72" t="s">
        <v>153</v>
      </c>
      <c r="D42" s="249" t="str">
        <f>C5</f>
        <v>Molito Lifestyle Center</v>
      </c>
      <c r="E42" s="250"/>
      <c r="F42" s="251"/>
      <c r="G42" s="64"/>
      <c r="K42" s="15"/>
    </row>
    <row r="43" spans="1:11" ht="14.25" customHeight="1">
      <c r="A43" s="202"/>
      <c r="B43" s="203"/>
      <c r="C43" s="203"/>
      <c r="D43" s="204"/>
      <c r="E43" s="204"/>
      <c r="F43" s="204"/>
      <c r="G43" s="202"/>
      <c r="K43" s="15"/>
    </row>
    <row r="44" spans="1:11" ht="14.25" customHeight="1">
      <c r="A44" s="202"/>
      <c r="B44" s="203"/>
      <c r="C44" s="203"/>
      <c r="D44" s="204"/>
      <c r="E44" s="204"/>
      <c r="F44" s="204"/>
      <c r="G44" s="202"/>
      <c r="K44" s="15"/>
    </row>
    <row r="45" spans="1:11" ht="14.25" customHeight="1">
      <c r="A45" s="202"/>
      <c r="B45" s="203"/>
      <c r="C45" s="203"/>
      <c r="D45" s="204"/>
      <c r="E45" s="204"/>
      <c r="F45" s="204"/>
      <c r="G45" s="202"/>
      <c r="K45" s="15"/>
    </row>
    <row r="46" spans="1:11" ht="14.25" customHeight="1">
      <c r="A46" s="202"/>
      <c r="B46" s="203"/>
      <c r="C46" s="203"/>
      <c r="D46" s="204"/>
      <c r="E46" s="204"/>
      <c r="F46" s="204"/>
      <c r="G46" s="202"/>
      <c r="K46" s="15"/>
    </row>
    <row r="47" spans="1:11" ht="20.25" customHeight="1">
      <c r="A47" s="73"/>
      <c r="B47" s="73"/>
      <c r="C47" s="74"/>
      <c r="D47" s="75"/>
      <c r="E47" s="76"/>
      <c r="F47" s="74"/>
      <c r="G47" s="76"/>
      <c r="K47" s="15"/>
    </row>
    <row r="48" spans="1:11" ht="20.25" customHeight="1">
      <c r="A48" s="73"/>
      <c r="B48" s="73"/>
      <c r="C48" s="74"/>
      <c r="D48" s="75"/>
      <c r="E48" s="76"/>
      <c r="F48" s="74"/>
      <c r="G48" s="76"/>
      <c r="K48" s="15"/>
    </row>
    <row r="49" spans="1:13" ht="20.25" customHeight="1">
      <c r="A49" s="73"/>
      <c r="B49" s="73"/>
      <c r="C49" s="74"/>
      <c r="D49" s="75"/>
      <c r="E49" s="76"/>
      <c r="F49" s="74"/>
      <c r="G49" s="76"/>
      <c r="K49" s="15"/>
    </row>
    <row r="50" spans="1:13" ht="15">
      <c r="A50" s="73"/>
      <c r="B50" s="77" t="s">
        <v>486</v>
      </c>
      <c r="C50" s="78"/>
      <c r="D50" s="79"/>
      <c r="E50" s="80"/>
      <c r="F50" s="81"/>
      <c r="G50" s="76"/>
      <c r="K50" s="15"/>
    </row>
    <row r="51" spans="1:13" ht="15">
      <c r="A51" s="76"/>
      <c r="B51" s="82" t="s">
        <v>210</v>
      </c>
      <c r="C51" s="83"/>
      <c r="D51" s="84"/>
      <c r="E51" s="85"/>
      <c r="F51" s="86"/>
      <c r="G51" s="87"/>
      <c r="K51" s="15"/>
    </row>
    <row r="52" spans="1:13" ht="15">
      <c r="A52" s="76"/>
      <c r="B52" s="82" t="s">
        <v>487</v>
      </c>
      <c r="C52" s="83"/>
      <c r="D52" s="84"/>
      <c r="E52" s="85"/>
      <c r="F52" s="86"/>
      <c r="G52" s="87"/>
      <c r="H52" s="124"/>
      <c r="I52" s="125"/>
      <c r="J52" s="125"/>
      <c r="K52" s="126"/>
      <c r="L52" s="30"/>
      <c r="M52" s="30"/>
    </row>
    <row r="53" spans="1:13" ht="15">
      <c r="A53" s="88"/>
      <c r="B53" s="89">
        <f ca="1">TODAY()</f>
        <v>43543</v>
      </c>
      <c r="C53" s="90"/>
      <c r="D53" s="91"/>
      <c r="E53" s="92"/>
      <c r="F53" s="93"/>
      <c r="G53" s="87"/>
      <c r="H53" s="124"/>
      <c r="I53" s="125"/>
      <c r="J53" s="125"/>
      <c r="K53" s="127" t="s">
        <v>245</v>
      </c>
      <c r="L53" s="30"/>
      <c r="M53" s="30"/>
    </row>
    <row r="54" spans="1:13" ht="16.5" customHeight="1">
      <c r="A54" s="88"/>
      <c r="B54" s="76"/>
      <c r="C54" s="74"/>
      <c r="D54" s="75"/>
      <c r="E54" s="76"/>
      <c r="F54" s="74"/>
      <c r="G54" s="87"/>
      <c r="H54" s="124"/>
      <c r="I54" s="125"/>
      <c r="J54" s="125"/>
      <c r="K54" s="128">
        <f>SUM(K55:K70)</f>
        <v>8014</v>
      </c>
      <c r="L54" s="30"/>
      <c r="M54" s="30"/>
    </row>
    <row r="55" spans="1:13" s="201" customFormat="1" ht="15">
      <c r="A55" s="94"/>
      <c r="B55" s="252" t="s">
        <v>513</v>
      </c>
      <c r="C55" s="253"/>
      <c r="D55" s="170" t="s">
        <v>213</v>
      </c>
      <c r="E55" s="170" t="s">
        <v>2</v>
      </c>
      <c r="F55" s="171" t="s">
        <v>214</v>
      </c>
      <c r="G55" s="97"/>
      <c r="H55" s="127" t="s">
        <v>385</v>
      </c>
      <c r="I55" s="127" t="s">
        <v>386</v>
      </c>
      <c r="J55" s="127" t="s">
        <v>387</v>
      </c>
      <c r="K55" s="127" t="s">
        <v>388</v>
      </c>
      <c r="L55" s="30"/>
      <c r="M55" s="30"/>
    </row>
    <row r="56" spans="1:13" ht="15" hidden="1">
      <c r="A56" s="98"/>
      <c r="B56" s="99" t="s">
        <v>215</v>
      </c>
      <c r="C56" s="100" t="s">
        <v>216</v>
      </c>
      <c r="D56" s="101">
        <v>0</v>
      </c>
      <c r="E56" s="102">
        <f>H56*I56*J56</f>
        <v>93000</v>
      </c>
      <c r="F56" s="102">
        <f>E56*D56</f>
        <v>0</v>
      </c>
      <c r="G56" s="103"/>
      <c r="H56" s="129">
        <v>750</v>
      </c>
      <c r="I56" s="130">
        <v>62</v>
      </c>
      <c r="J56" s="131">
        <v>2</v>
      </c>
      <c r="K56" s="132">
        <f>H56*D56</f>
        <v>0</v>
      </c>
      <c r="L56" s="30"/>
      <c r="M56" s="30"/>
    </row>
    <row r="57" spans="1:13" ht="102.75" customHeight="1">
      <c r="A57" s="98"/>
      <c r="B57" s="155" t="s">
        <v>217</v>
      </c>
      <c r="C57" s="154" t="s">
        <v>488</v>
      </c>
      <c r="D57" s="172">
        <v>2</v>
      </c>
      <c r="E57" s="157">
        <f t="shared" ref="E57:E69" si="0">H57*I57*J57</f>
        <v>247380</v>
      </c>
      <c r="F57" s="157">
        <f t="shared" ref="F57:F70" si="1">E57*D57</f>
        <v>494760</v>
      </c>
      <c r="G57" s="103"/>
      <c r="H57" s="129">
        <v>1995</v>
      </c>
      <c r="I57" s="130">
        <v>62</v>
      </c>
      <c r="J57" s="131">
        <v>2</v>
      </c>
      <c r="K57" s="132">
        <f t="shared" ref="K57:K70" si="2">H57*D57</f>
        <v>3990</v>
      </c>
      <c r="L57" s="30"/>
      <c r="M57" s="30"/>
    </row>
    <row r="58" spans="1:13" ht="63.75">
      <c r="A58" s="98"/>
      <c r="B58" s="99" t="s">
        <v>219</v>
      </c>
      <c r="C58" s="154" t="s">
        <v>220</v>
      </c>
      <c r="D58" s="172">
        <v>2</v>
      </c>
      <c r="E58" s="157">
        <f t="shared" si="0"/>
        <v>37200</v>
      </c>
      <c r="F58" s="157">
        <f t="shared" si="1"/>
        <v>74400</v>
      </c>
      <c r="G58" s="103"/>
      <c r="H58" s="129">
        <v>300</v>
      </c>
      <c r="I58" s="130">
        <v>62</v>
      </c>
      <c r="J58" s="131">
        <v>2</v>
      </c>
      <c r="K58" s="132">
        <f t="shared" si="2"/>
        <v>600</v>
      </c>
      <c r="L58" s="30"/>
      <c r="M58" s="30"/>
    </row>
    <row r="59" spans="1:13" ht="25.5">
      <c r="A59" s="158"/>
      <c r="B59" s="155" t="s">
        <v>489</v>
      </c>
      <c r="C59" s="154" t="s">
        <v>222</v>
      </c>
      <c r="D59" s="172">
        <v>2</v>
      </c>
      <c r="E59" s="157">
        <f t="shared" si="0"/>
        <v>84320</v>
      </c>
      <c r="F59" s="157">
        <f t="shared" si="1"/>
        <v>168640</v>
      </c>
      <c r="G59" s="103"/>
      <c r="H59" s="129">
        <v>1360</v>
      </c>
      <c r="I59" s="130">
        <v>62</v>
      </c>
      <c r="J59" s="131">
        <v>1</v>
      </c>
      <c r="K59" s="132">
        <f t="shared" si="2"/>
        <v>2720</v>
      </c>
      <c r="L59" s="30"/>
      <c r="M59" s="30"/>
    </row>
    <row r="60" spans="1:13" ht="75" hidden="1">
      <c r="A60" s="98"/>
      <c r="B60" s="99" t="s">
        <v>223</v>
      </c>
      <c r="C60" s="100" t="s">
        <v>224</v>
      </c>
      <c r="D60" s="173">
        <v>0</v>
      </c>
      <c r="E60" s="102">
        <f t="shared" si="0"/>
        <v>89280</v>
      </c>
      <c r="F60" s="102">
        <f t="shared" si="1"/>
        <v>0</v>
      </c>
      <c r="G60" s="103"/>
      <c r="H60" s="129">
        <v>1440</v>
      </c>
      <c r="I60" s="130">
        <v>62</v>
      </c>
      <c r="J60" s="131">
        <v>1</v>
      </c>
      <c r="K60" s="132">
        <f t="shared" si="2"/>
        <v>0</v>
      </c>
      <c r="L60" s="30"/>
      <c r="M60" s="30"/>
    </row>
    <row r="61" spans="1:13" ht="25.5">
      <c r="A61" s="98"/>
      <c r="B61" s="155" t="s">
        <v>225</v>
      </c>
      <c r="C61" s="154" t="s">
        <v>226</v>
      </c>
      <c r="D61" s="172">
        <v>2</v>
      </c>
      <c r="E61" s="157">
        <f t="shared" si="0"/>
        <v>21824</v>
      </c>
      <c r="F61" s="157">
        <f t="shared" si="1"/>
        <v>43648</v>
      </c>
      <c r="G61" s="103"/>
      <c r="H61" s="129">
        <v>352</v>
      </c>
      <c r="I61" s="130">
        <v>62</v>
      </c>
      <c r="J61" s="131">
        <v>1</v>
      </c>
      <c r="K61" s="132">
        <f t="shared" si="2"/>
        <v>704</v>
      </c>
      <c r="L61" s="30"/>
      <c r="M61" s="30"/>
    </row>
    <row r="62" spans="1:13" ht="15" hidden="1">
      <c r="A62" s="98"/>
      <c r="B62" s="99" t="s">
        <v>227</v>
      </c>
      <c r="C62" s="100" t="s">
        <v>228</v>
      </c>
      <c r="D62" s="101">
        <v>0</v>
      </c>
      <c r="E62" s="102">
        <f t="shared" si="0"/>
        <v>27900</v>
      </c>
      <c r="F62" s="102">
        <f t="shared" si="1"/>
        <v>0</v>
      </c>
      <c r="G62" s="103"/>
      <c r="H62" s="129">
        <v>300</v>
      </c>
      <c r="I62" s="130">
        <v>62</v>
      </c>
      <c r="J62" s="131">
        <v>1.5</v>
      </c>
      <c r="K62" s="132">
        <f t="shared" si="2"/>
        <v>0</v>
      </c>
      <c r="L62" s="30"/>
      <c r="M62" s="30"/>
    </row>
    <row r="63" spans="1:13" ht="15" hidden="1">
      <c r="A63" s="98"/>
      <c r="B63" s="99" t="s">
        <v>229</v>
      </c>
      <c r="C63" s="100" t="s">
        <v>230</v>
      </c>
      <c r="D63" s="101">
        <v>0</v>
      </c>
      <c r="E63" s="102">
        <f t="shared" si="0"/>
        <v>39308</v>
      </c>
      <c r="F63" s="102">
        <f t="shared" si="1"/>
        <v>0</v>
      </c>
      <c r="G63" s="103"/>
      <c r="H63" s="129">
        <v>634</v>
      </c>
      <c r="I63" s="130">
        <v>62</v>
      </c>
      <c r="J63" s="131">
        <v>1</v>
      </c>
      <c r="K63" s="132">
        <f t="shared" si="2"/>
        <v>0</v>
      </c>
      <c r="L63" s="30"/>
      <c r="M63" s="30"/>
    </row>
    <row r="64" spans="1:13" hidden="1">
      <c r="A64" s="98"/>
      <c r="B64" s="99" t="s">
        <v>231</v>
      </c>
      <c r="C64" s="100" t="s">
        <v>232</v>
      </c>
      <c r="D64" s="101">
        <v>0</v>
      </c>
      <c r="E64" s="102">
        <f t="shared" si="0"/>
        <v>13454</v>
      </c>
      <c r="F64" s="102">
        <f t="shared" si="1"/>
        <v>0</v>
      </c>
      <c r="G64" s="103"/>
      <c r="H64" s="129">
        <v>217</v>
      </c>
      <c r="I64" s="130">
        <v>62</v>
      </c>
      <c r="J64" s="131">
        <v>1</v>
      </c>
      <c r="K64" s="132">
        <f t="shared" si="2"/>
        <v>0</v>
      </c>
      <c r="L64" s="30"/>
      <c r="M64" s="30"/>
    </row>
    <row r="65" spans="1:13" ht="15" hidden="1">
      <c r="A65" s="98"/>
      <c r="B65" s="99" t="s">
        <v>233</v>
      </c>
      <c r="C65" s="100" t="s">
        <v>234</v>
      </c>
      <c r="D65" s="101">
        <v>0</v>
      </c>
      <c r="E65" s="102">
        <f t="shared" si="0"/>
        <v>2170</v>
      </c>
      <c r="F65" s="102">
        <f t="shared" si="1"/>
        <v>0</v>
      </c>
      <c r="G65" s="103"/>
      <c r="H65" s="129">
        <v>35</v>
      </c>
      <c r="I65" s="130">
        <v>62</v>
      </c>
      <c r="J65" s="131">
        <v>1</v>
      </c>
      <c r="K65" s="132">
        <f t="shared" si="2"/>
        <v>0</v>
      </c>
      <c r="L65" s="30"/>
      <c r="M65" s="30"/>
    </row>
    <row r="66" spans="1:13" ht="15" hidden="1">
      <c r="A66" s="98"/>
      <c r="B66" s="99" t="s">
        <v>235</v>
      </c>
      <c r="C66" s="100" t="s">
        <v>236</v>
      </c>
      <c r="D66" s="101">
        <v>0</v>
      </c>
      <c r="E66" s="102">
        <f t="shared" si="0"/>
        <v>7626</v>
      </c>
      <c r="F66" s="102">
        <f t="shared" si="1"/>
        <v>0</v>
      </c>
      <c r="G66" s="103"/>
      <c r="H66" s="129">
        <v>123</v>
      </c>
      <c r="I66" s="130">
        <v>62</v>
      </c>
      <c r="J66" s="131">
        <v>1</v>
      </c>
      <c r="K66" s="132">
        <f t="shared" si="2"/>
        <v>0</v>
      </c>
      <c r="L66" s="30"/>
      <c r="M66" s="30"/>
    </row>
    <row r="67" spans="1:13" ht="15" hidden="1">
      <c r="A67" s="98"/>
      <c r="B67" s="99" t="s">
        <v>237</v>
      </c>
      <c r="C67" s="100" t="s">
        <v>238</v>
      </c>
      <c r="D67" s="101">
        <v>0</v>
      </c>
      <c r="E67" s="102">
        <f t="shared" si="0"/>
        <v>128786.40000000001</v>
      </c>
      <c r="F67" s="102">
        <f t="shared" si="1"/>
        <v>0</v>
      </c>
      <c r="G67" s="103"/>
      <c r="H67" s="129">
        <v>1154</v>
      </c>
      <c r="I67" s="130">
        <v>62</v>
      </c>
      <c r="J67" s="131">
        <v>1.8</v>
      </c>
      <c r="K67" s="132">
        <f t="shared" si="2"/>
        <v>0</v>
      </c>
      <c r="L67" s="30"/>
      <c r="M67" s="30"/>
    </row>
    <row r="68" spans="1:13" hidden="1">
      <c r="A68" s="98"/>
      <c r="B68" s="99" t="s">
        <v>239</v>
      </c>
      <c r="C68" s="100" t="s">
        <v>240</v>
      </c>
      <c r="D68" s="101">
        <v>0</v>
      </c>
      <c r="E68" s="102">
        <f t="shared" si="0"/>
        <v>14284.800000000001</v>
      </c>
      <c r="F68" s="102">
        <f t="shared" si="1"/>
        <v>0</v>
      </c>
      <c r="G68" s="103"/>
      <c r="H68" s="129">
        <v>128</v>
      </c>
      <c r="I68" s="130">
        <v>62</v>
      </c>
      <c r="J68" s="131">
        <v>1.8</v>
      </c>
      <c r="K68" s="132">
        <f t="shared" si="2"/>
        <v>0</v>
      </c>
      <c r="L68" s="30"/>
      <c r="M68" s="30"/>
    </row>
    <row r="69" spans="1:13" hidden="1">
      <c r="A69" s="98"/>
      <c r="B69" s="99" t="s">
        <v>241</v>
      </c>
      <c r="C69" s="100" t="s">
        <v>242</v>
      </c>
      <c r="D69" s="101">
        <v>0</v>
      </c>
      <c r="E69" s="102">
        <f t="shared" si="0"/>
        <v>18600</v>
      </c>
      <c r="F69" s="102">
        <f t="shared" si="1"/>
        <v>0</v>
      </c>
      <c r="G69" s="103"/>
      <c r="H69" s="129">
        <v>300</v>
      </c>
      <c r="I69" s="130">
        <v>62</v>
      </c>
      <c r="J69" s="131">
        <v>1</v>
      </c>
      <c r="K69" s="132">
        <f t="shared" si="2"/>
        <v>0</v>
      </c>
      <c r="L69" s="30"/>
      <c r="M69" s="30"/>
    </row>
    <row r="70" spans="1:13" hidden="1">
      <c r="A70" s="98"/>
      <c r="B70" s="99" t="s">
        <v>243</v>
      </c>
      <c r="C70" s="100" t="s">
        <v>244</v>
      </c>
      <c r="D70" s="101">
        <v>0</v>
      </c>
      <c r="E70" s="102">
        <f>H70*I70*J70</f>
        <v>17360</v>
      </c>
      <c r="F70" s="102">
        <f t="shared" si="1"/>
        <v>0</v>
      </c>
      <c r="G70" s="103"/>
      <c r="H70" s="133">
        <v>140</v>
      </c>
      <c r="I70" s="134">
        <v>62</v>
      </c>
      <c r="J70" s="135">
        <v>2</v>
      </c>
      <c r="K70" s="136">
        <f t="shared" si="2"/>
        <v>0</v>
      </c>
      <c r="L70" s="30"/>
      <c r="M70" s="30"/>
    </row>
    <row r="71" spans="1:13" s="196" customFormat="1" ht="12.75">
      <c r="A71" s="158"/>
      <c r="B71" s="189"/>
      <c r="C71" s="190"/>
      <c r="D71" s="266" t="s">
        <v>490</v>
      </c>
      <c r="E71" s="267"/>
      <c r="F71" s="191">
        <f>SUM(F56:F70)</f>
        <v>781448</v>
      </c>
      <c r="G71" s="192"/>
      <c r="H71" s="193"/>
      <c r="I71" s="193"/>
      <c r="J71" s="194"/>
      <c r="K71" s="195"/>
      <c r="L71" s="43"/>
      <c r="M71" s="43"/>
    </row>
    <row r="72" spans="1:13" s="169" customFormat="1" ht="8.1" customHeight="1">
      <c r="A72" s="98"/>
      <c r="B72" s="163"/>
      <c r="C72" s="164"/>
      <c r="D72" s="164"/>
      <c r="E72" s="165"/>
      <c r="F72" s="166"/>
      <c r="G72" s="103"/>
      <c r="H72" s="76"/>
      <c r="I72" s="76"/>
      <c r="J72" s="167"/>
      <c r="K72" s="168"/>
      <c r="L72" s="50"/>
      <c r="M72" s="50"/>
    </row>
    <row r="73" spans="1:13" ht="15" customHeight="1">
      <c r="B73" s="252" t="s">
        <v>491</v>
      </c>
      <c r="C73" s="253"/>
      <c r="D73" s="170" t="s">
        <v>213</v>
      </c>
      <c r="E73" s="170" t="s">
        <v>2</v>
      </c>
      <c r="F73" s="171" t="s">
        <v>214</v>
      </c>
      <c r="H73" s="126"/>
      <c r="I73" s="126"/>
      <c r="J73" s="126"/>
      <c r="K73" s="126"/>
      <c r="L73" s="30"/>
      <c r="M73" s="30"/>
    </row>
    <row r="74" spans="1:13" ht="15" hidden="1">
      <c r="A74" s="98"/>
      <c r="B74" s="99" t="s">
        <v>215</v>
      </c>
      <c r="C74" s="100" t="s">
        <v>216</v>
      </c>
      <c r="D74" s="101">
        <v>0</v>
      </c>
      <c r="E74" s="102">
        <f>H74*I74*J74</f>
        <v>93000</v>
      </c>
      <c r="F74" s="102">
        <f>E74*D74</f>
        <v>0</v>
      </c>
      <c r="G74" s="103"/>
      <c r="H74" s="129">
        <v>750</v>
      </c>
      <c r="I74" s="130">
        <v>62</v>
      </c>
      <c r="J74" s="131">
        <v>2</v>
      </c>
      <c r="K74" s="132">
        <f>H74*D74</f>
        <v>0</v>
      </c>
      <c r="L74" s="30"/>
      <c r="M74" s="30"/>
    </row>
    <row r="75" spans="1:13" ht="102.75" customHeight="1">
      <c r="A75" s="98"/>
      <c r="B75" s="155" t="s">
        <v>217</v>
      </c>
      <c r="C75" s="154" t="s">
        <v>488</v>
      </c>
      <c r="D75" s="172">
        <v>1</v>
      </c>
      <c r="E75" s="157">
        <f t="shared" ref="E75:E87" si="3">H75*I75*J75</f>
        <v>247380</v>
      </c>
      <c r="F75" s="157">
        <f t="shared" ref="F75:F88" si="4">E75*D75</f>
        <v>247380</v>
      </c>
      <c r="G75" s="103"/>
      <c r="H75" s="129">
        <v>1995</v>
      </c>
      <c r="I75" s="130">
        <v>62</v>
      </c>
      <c r="J75" s="131">
        <v>2</v>
      </c>
      <c r="K75" s="132">
        <f t="shared" ref="K75:K88" si="5">H75*D75</f>
        <v>1995</v>
      </c>
      <c r="L75" s="30"/>
      <c r="M75" s="30"/>
    </row>
    <row r="76" spans="1:13" ht="63.75">
      <c r="A76" s="98"/>
      <c r="B76" s="155" t="s">
        <v>219</v>
      </c>
      <c r="C76" s="154" t="s">
        <v>220</v>
      </c>
      <c r="D76" s="172">
        <v>1</v>
      </c>
      <c r="E76" s="157">
        <f t="shared" si="3"/>
        <v>37200</v>
      </c>
      <c r="F76" s="157">
        <f t="shared" si="4"/>
        <v>37200</v>
      </c>
      <c r="G76" s="103"/>
      <c r="H76" s="129">
        <v>300</v>
      </c>
      <c r="I76" s="130">
        <v>62</v>
      </c>
      <c r="J76" s="131">
        <v>2</v>
      </c>
      <c r="K76" s="132">
        <f t="shared" si="5"/>
        <v>300</v>
      </c>
      <c r="L76" s="30"/>
      <c r="M76" s="30"/>
    </row>
    <row r="77" spans="1:13" ht="25.5">
      <c r="A77" s="158"/>
      <c r="B77" s="155" t="s">
        <v>489</v>
      </c>
      <c r="C77" s="154" t="s">
        <v>222</v>
      </c>
      <c r="D77" s="172">
        <v>1</v>
      </c>
      <c r="E77" s="157">
        <f t="shared" si="3"/>
        <v>84320</v>
      </c>
      <c r="F77" s="157">
        <f t="shared" si="4"/>
        <v>84320</v>
      </c>
      <c r="G77" s="103"/>
      <c r="H77" s="129">
        <v>1360</v>
      </c>
      <c r="I77" s="130">
        <v>62</v>
      </c>
      <c r="J77" s="131">
        <v>1</v>
      </c>
      <c r="K77" s="132">
        <f t="shared" si="5"/>
        <v>1360</v>
      </c>
      <c r="L77" s="30"/>
      <c r="M77" s="30"/>
    </row>
    <row r="78" spans="1:13" ht="75" hidden="1">
      <c r="A78" s="98"/>
      <c r="B78" s="99" t="s">
        <v>223</v>
      </c>
      <c r="C78" s="100" t="s">
        <v>224</v>
      </c>
      <c r="D78" s="173">
        <v>0</v>
      </c>
      <c r="E78" s="102">
        <f t="shared" si="3"/>
        <v>89280</v>
      </c>
      <c r="F78" s="102">
        <f t="shared" si="4"/>
        <v>0</v>
      </c>
      <c r="G78" s="103"/>
      <c r="H78" s="129">
        <v>1440</v>
      </c>
      <c r="I78" s="130">
        <v>62</v>
      </c>
      <c r="J78" s="131">
        <v>1</v>
      </c>
      <c r="K78" s="132">
        <f t="shared" si="5"/>
        <v>0</v>
      </c>
      <c r="L78" s="30"/>
      <c r="M78" s="30"/>
    </row>
    <row r="79" spans="1:13" ht="25.5">
      <c r="A79" s="98"/>
      <c r="B79" s="155" t="s">
        <v>225</v>
      </c>
      <c r="C79" s="154" t="s">
        <v>226</v>
      </c>
      <c r="D79" s="172">
        <v>1</v>
      </c>
      <c r="E79" s="157">
        <f t="shared" si="3"/>
        <v>21824</v>
      </c>
      <c r="F79" s="157">
        <f t="shared" si="4"/>
        <v>21824</v>
      </c>
      <c r="G79" s="103"/>
      <c r="H79" s="129">
        <v>352</v>
      </c>
      <c r="I79" s="130">
        <v>62</v>
      </c>
      <c r="J79" s="131">
        <v>1</v>
      </c>
      <c r="K79" s="132">
        <f t="shared" si="5"/>
        <v>352</v>
      </c>
      <c r="L79" s="30"/>
      <c r="M79" s="30"/>
    </row>
    <row r="80" spans="1:13" ht="15" hidden="1">
      <c r="A80" s="98"/>
      <c r="B80" s="99" t="s">
        <v>227</v>
      </c>
      <c r="C80" s="100" t="s">
        <v>228</v>
      </c>
      <c r="D80" s="173">
        <v>0</v>
      </c>
      <c r="E80" s="102">
        <f t="shared" si="3"/>
        <v>27900</v>
      </c>
      <c r="F80" s="102">
        <f t="shared" si="4"/>
        <v>0</v>
      </c>
      <c r="G80" s="103"/>
      <c r="H80" s="129">
        <v>300</v>
      </c>
      <c r="I80" s="130">
        <v>62</v>
      </c>
      <c r="J80" s="131">
        <v>1.5</v>
      </c>
      <c r="K80" s="132">
        <f t="shared" si="5"/>
        <v>0</v>
      </c>
      <c r="L80" s="30"/>
      <c r="M80" s="30"/>
    </row>
    <row r="81" spans="1:13" ht="15" hidden="1">
      <c r="A81" s="98"/>
      <c r="B81" s="99" t="s">
        <v>229</v>
      </c>
      <c r="C81" s="100" t="s">
        <v>230</v>
      </c>
      <c r="D81" s="173">
        <v>0</v>
      </c>
      <c r="E81" s="102">
        <f t="shared" si="3"/>
        <v>39308</v>
      </c>
      <c r="F81" s="102">
        <f t="shared" si="4"/>
        <v>0</v>
      </c>
      <c r="G81" s="103"/>
      <c r="H81" s="129">
        <v>634</v>
      </c>
      <c r="I81" s="130">
        <v>62</v>
      </c>
      <c r="J81" s="131">
        <v>1</v>
      </c>
      <c r="K81" s="132">
        <f t="shared" si="5"/>
        <v>0</v>
      </c>
      <c r="L81" s="30"/>
      <c r="M81" s="30"/>
    </row>
    <row r="82" spans="1:13" hidden="1">
      <c r="A82" s="98"/>
      <c r="B82" s="99" t="s">
        <v>231</v>
      </c>
      <c r="C82" s="100" t="s">
        <v>232</v>
      </c>
      <c r="D82" s="173">
        <v>0</v>
      </c>
      <c r="E82" s="102">
        <f t="shared" si="3"/>
        <v>13454</v>
      </c>
      <c r="F82" s="102">
        <f t="shared" si="4"/>
        <v>0</v>
      </c>
      <c r="G82" s="103"/>
      <c r="H82" s="129">
        <v>217</v>
      </c>
      <c r="I82" s="130">
        <v>62</v>
      </c>
      <c r="J82" s="131">
        <v>1</v>
      </c>
      <c r="K82" s="132">
        <f t="shared" si="5"/>
        <v>0</v>
      </c>
      <c r="L82" s="30"/>
      <c r="M82" s="30"/>
    </row>
    <row r="83" spans="1:13" ht="15" hidden="1">
      <c r="A83" s="98"/>
      <c r="B83" s="99" t="s">
        <v>233</v>
      </c>
      <c r="C83" s="100" t="s">
        <v>234</v>
      </c>
      <c r="D83" s="173">
        <v>0</v>
      </c>
      <c r="E83" s="102">
        <f t="shared" si="3"/>
        <v>2170</v>
      </c>
      <c r="F83" s="102">
        <f t="shared" si="4"/>
        <v>0</v>
      </c>
      <c r="G83" s="103"/>
      <c r="H83" s="129">
        <v>35</v>
      </c>
      <c r="I83" s="130">
        <v>62</v>
      </c>
      <c r="J83" s="131">
        <v>1</v>
      </c>
      <c r="K83" s="132">
        <f t="shared" si="5"/>
        <v>0</v>
      </c>
      <c r="L83" s="30"/>
      <c r="M83" s="30"/>
    </row>
    <row r="84" spans="1:13" ht="15" hidden="1">
      <c r="A84" s="98"/>
      <c r="B84" s="99" t="s">
        <v>235</v>
      </c>
      <c r="C84" s="100" t="s">
        <v>236</v>
      </c>
      <c r="D84" s="173">
        <v>0</v>
      </c>
      <c r="E84" s="102">
        <f t="shared" si="3"/>
        <v>7626</v>
      </c>
      <c r="F84" s="102">
        <f t="shared" si="4"/>
        <v>0</v>
      </c>
      <c r="G84" s="103"/>
      <c r="H84" s="129">
        <v>123</v>
      </c>
      <c r="I84" s="130">
        <v>62</v>
      </c>
      <c r="J84" s="131">
        <v>1</v>
      </c>
      <c r="K84" s="132">
        <f t="shared" si="5"/>
        <v>0</v>
      </c>
      <c r="L84" s="30"/>
      <c r="M84" s="30"/>
    </row>
    <row r="85" spans="1:13" ht="15" hidden="1">
      <c r="A85" s="98"/>
      <c r="B85" s="99" t="s">
        <v>237</v>
      </c>
      <c r="C85" s="100" t="s">
        <v>238</v>
      </c>
      <c r="D85" s="173">
        <v>0</v>
      </c>
      <c r="E85" s="102">
        <f t="shared" si="3"/>
        <v>128786.40000000001</v>
      </c>
      <c r="F85" s="102">
        <f t="shared" si="4"/>
        <v>0</v>
      </c>
      <c r="G85" s="103"/>
      <c r="H85" s="129">
        <v>1154</v>
      </c>
      <c r="I85" s="130">
        <v>62</v>
      </c>
      <c r="J85" s="131">
        <v>1.8</v>
      </c>
      <c r="K85" s="132">
        <f t="shared" si="5"/>
        <v>0</v>
      </c>
      <c r="L85" s="30"/>
      <c r="M85" s="30"/>
    </row>
    <row r="86" spans="1:13" hidden="1">
      <c r="A86" s="98"/>
      <c r="B86" s="99" t="s">
        <v>239</v>
      </c>
      <c r="C86" s="100" t="s">
        <v>240</v>
      </c>
      <c r="D86" s="173">
        <v>0</v>
      </c>
      <c r="E86" s="102">
        <f t="shared" si="3"/>
        <v>14284.800000000001</v>
      </c>
      <c r="F86" s="102">
        <f t="shared" si="4"/>
        <v>0</v>
      </c>
      <c r="G86" s="103"/>
      <c r="H86" s="129">
        <v>128</v>
      </c>
      <c r="I86" s="130">
        <v>62</v>
      </c>
      <c r="J86" s="131">
        <v>1.8</v>
      </c>
      <c r="K86" s="132">
        <f t="shared" si="5"/>
        <v>0</v>
      </c>
      <c r="L86" s="30"/>
      <c r="M86" s="30"/>
    </row>
    <row r="87" spans="1:13" ht="13.5" customHeight="1">
      <c r="A87" s="98"/>
      <c r="B87" s="155" t="s">
        <v>241</v>
      </c>
      <c r="C87" s="154" t="s">
        <v>242</v>
      </c>
      <c r="D87" s="172">
        <v>1</v>
      </c>
      <c r="E87" s="157">
        <f t="shared" si="3"/>
        <v>18600</v>
      </c>
      <c r="F87" s="157">
        <f t="shared" si="4"/>
        <v>18600</v>
      </c>
      <c r="G87" s="103"/>
      <c r="H87" s="129">
        <v>300</v>
      </c>
      <c r="I87" s="130">
        <v>62</v>
      </c>
      <c r="J87" s="131">
        <v>1</v>
      </c>
      <c r="K87" s="132">
        <f t="shared" si="5"/>
        <v>300</v>
      </c>
      <c r="L87" s="30"/>
      <c r="M87" s="30"/>
    </row>
    <row r="88" spans="1:13" ht="25.5">
      <c r="A88" s="98"/>
      <c r="B88" s="155" t="s">
        <v>243</v>
      </c>
      <c r="C88" s="154" t="s">
        <v>244</v>
      </c>
      <c r="D88" s="172">
        <v>1</v>
      </c>
      <c r="E88" s="157">
        <f>H88*I88*J88</f>
        <v>17360</v>
      </c>
      <c r="F88" s="157">
        <f t="shared" si="4"/>
        <v>17360</v>
      </c>
      <c r="G88" s="103"/>
      <c r="H88" s="133">
        <v>140</v>
      </c>
      <c r="I88" s="134">
        <v>62</v>
      </c>
      <c r="J88" s="135">
        <v>2</v>
      </c>
      <c r="K88" s="136">
        <f t="shared" si="5"/>
        <v>140</v>
      </c>
      <c r="L88" s="30"/>
      <c r="M88" s="30"/>
    </row>
    <row r="89" spans="1:13" s="196" customFormat="1" ht="12.75">
      <c r="A89" s="158"/>
      <c r="B89" s="189"/>
      <c r="C89" s="190"/>
      <c r="D89" s="266" t="s">
        <v>490</v>
      </c>
      <c r="E89" s="267"/>
      <c r="F89" s="191">
        <f>SUM(F74:F88)</f>
        <v>426684</v>
      </c>
      <c r="G89" s="192"/>
      <c r="H89" s="193"/>
      <c r="I89" s="193"/>
      <c r="J89" s="194"/>
      <c r="K89" s="195"/>
      <c r="L89" s="43"/>
      <c r="M89" s="43"/>
    </row>
    <row r="90" spans="1:13" s="169" customFormat="1" ht="8.1" customHeight="1">
      <c r="A90" s="98"/>
      <c r="B90" s="163"/>
      <c r="C90" s="164"/>
      <c r="D90" s="164"/>
      <c r="E90" s="165"/>
      <c r="F90" s="166"/>
      <c r="G90" s="103"/>
      <c r="H90" s="76"/>
      <c r="I90" s="76"/>
      <c r="J90" s="167"/>
      <c r="K90" s="168"/>
      <c r="L90" s="50"/>
      <c r="M90" s="50"/>
    </row>
    <row r="91" spans="1:13" ht="15" hidden="1">
      <c r="A91" s="94"/>
      <c r="B91" s="252" t="s">
        <v>246</v>
      </c>
      <c r="C91" s="253"/>
      <c r="D91" s="95" t="s">
        <v>213</v>
      </c>
      <c r="E91" s="95" t="s">
        <v>2</v>
      </c>
      <c r="F91" s="96" t="s">
        <v>214</v>
      </c>
      <c r="G91" s="97"/>
      <c r="H91" s="127" t="s">
        <v>385</v>
      </c>
      <c r="I91" s="127" t="s">
        <v>386</v>
      </c>
      <c r="J91" s="127" t="s">
        <v>387</v>
      </c>
      <c r="K91" s="127" t="s">
        <v>388</v>
      </c>
      <c r="L91" s="30"/>
      <c r="M91" s="30"/>
    </row>
    <row r="92" spans="1:13" ht="15" hidden="1">
      <c r="A92" s="98"/>
      <c r="B92" s="99" t="s">
        <v>215</v>
      </c>
      <c r="C92" s="100" t="s">
        <v>216</v>
      </c>
      <c r="D92" s="101">
        <v>0</v>
      </c>
      <c r="E92" s="102">
        <f t="shared" ref="E92:E99" si="6">H92*I92*J92</f>
        <v>93000</v>
      </c>
      <c r="F92" s="102">
        <f t="shared" ref="F92:F115" si="7">E92*D92</f>
        <v>0</v>
      </c>
      <c r="G92" s="103"/>
      <c r="H92" s="129">
        <v>750</v>
      </c>
      <c r="I92" s="130">
        <v>62</v>
      </c>
      <c r="J92" s="131">
        <v>2</v>
      </c>
      <c r="K92" s="132">
        <f t="shared" ref="K92:K115" si="8">H92*D92</f>
        <v>0</v>
      </c>
      <c r="L92" s="30"/>
      <c r="M92" s="30"/>
    </row>
    <row r="93" spans="1:13" ht="90" hidden="1">
      <c r="A93" s="98"/>
      <c r="B93" s="99" t="s">
        <v>247</v>
      </c>
      <c r="C93" s="100" t="s">
        <v>248</v>
      </c>
      <c r="D93" s="101">
        <v>0</v>
      </c>
      <c r="E93" s="102">
        <f t="shared" si="6"/>
        <v>79236</v>
      </c>
      <c r="F93" s="102">
        <f t="shared" si="7"/>
        <v>0</v>
      </c>
      <c r="G93" s="103"/>
      <c r="H93" s="129">
        <v>639</v>
      </c>
      <c r="I93" s="130">
        <v>62</v>
      </c>
      <c r="J93" s="131">
        <v>2</v>
      </c>
      <c r="K93" s="132">
        <f t="shared" si="8"/>
        <v>0</v>
      </c>
      <c r="L93" s="30"/>
      <c r="M93" s="30"/>
    </row>
    <row r="94" spans="1:13" ht="60" hidden="1">
      <c r="A94" s="98"/>
      <c r="B94" s="99" t="s">
        <v>249</v>
      </c>
      <c r="C94" s="100" t="s">
        <v>250</v>
      </c>
      <c r="D94" s="101">
        <v>0</v>
      </c>
      <c r="E94" s="102">
        <f t="shared" si="6"/>
        <v>7316</v>
      </c>
      <c r="F94" s="102">
        <f t="shared" si="7"/>
        <v>0</v>
      </c>
      <c r="G94" s="103"/>
      <c r="H94" s="129">
        <v>118</v>
      </c>
      <c r="I94" s="130">
        <v>62</v>
      </c>
      <c r="J94" s="131">
        <v>1</v>
      </c>
      <c r="K94" s="132">
        <f t="shared" si="8"/>
        <v>0</v>
      </c>
      <c r="L94" s="30"/>
      <c r="M94" s="30"/>
    </row>
    <row r="95" spans="1:13" ht="15" hidden="1">
      <c r="A95" s="98"/>
      <c r="B95" s="99" t="s">
        <v>251</v>
      </c>
      <c r="C95" s="100" t="s">
        <v>252</v>
      </c>
      <c r="D95" s="101">
        <v>0</v>
      </c>
      <c r="E95" s="102">
        <f t="shared" si="6"/>
        <v>28520</v>
      </c>
      <c r="F95" s="102">
        <f t="shared" si="7"/>
        <v>0</v>
      </c>
      <c r="G95" s="103"/>
      <c r="H95" s="129">
        <v>460</v>
      </c>
      <c r="I95" s="130">
        <v>62</v>
      </c>
      <c r="J95" s="131">
        <v>1</v>
      </c>
      <c r="K95" s="132">
        <f t="shared" si="8"/>
        <v>0</v>
      </c>
      <c r="L95" s="30"/>
      <c r="M95" s="30"/>
    </row>
    <row r="96" spans="1:13" ht="15" hidden="1">
      <c r="A96" s="98"/>
      <c r="B96" s="99" t="s">
        <v>253</v>
      </c>
      <c r="C96" s="100" t="s">
        <v>254</v>
      </c>
      <c r="D96" s="101">
        <v>0</v>
      </c>
      <c r="E96" s="102">
        <f t="shared" si="6"/>
        <v>7440</v>
      </c>
      <c r="F96" s="102">
        <f t="shared" si="7"/>
        <v>0</v>
      </c>
      <c r="G96" s="103"/>
      <c r="H96" s="129">
        <v>120</v>
      </c>
      <c r="I96" s="130">
        <v>62</v>
      </c>
      <c r="J96" s="131">
        <v>1</v>
      </c>
      <c r="K96" s="132">
        <f t="shared" si="8"/>
        <v>0</v>
      </c>
      <c r="L96" s="30"/>
      <c r="M96" s="30"/>
    </row>
    <row r="97" spans="1:13" hidden="1">
      <c r="A97" s="98"/>
      <c r="B97" s="99" t="s">
        <v>255</v>
      </c>
      <c r="C97" s="100" t="s">
        <v>256</v>
      </c>
      <c r="D97" s="101">
        <v>0</v>
      </c>
      <c r="E97" s="102">
        <f t="shared" si="6"/>
        <v>19840</v>
      </c>
      <c r="F97" s="102">
        <f t="shared" si="7"/>
        <v>0</v>
      </c>
      <c r="G97" s="103"/>
      <c r="H97" s="129">
        <v>320</v>
      </c>
      <c r="I97" s="130">
        <v>62</v>
      </c>
      <c r="J97" s="131">
        <v>1</v>
      </c>
      <c r="K97" s="132">
        <f t="shared" si="8"/>
        <v>0</v>
      </c>
      <c r="L97" s="30"/>
      <c r="M97" s="30"/>
    </row>
    <row r="98" spans="1:13" ht="15" hidden="1">
      <c r="A98" s="98"/>
      <c r="B98" s="99" t="s">
        <v>257</v>
      </c>
      <c r="C98" s="100" t="s">
        <v>258</v>
      </c>
      <c r="D98" s="101">
        <v>0</v>
      </c>
      <c r="E98" s="102">
        <f t="shared" si="6"/>
        <v>11532</v>
      </c>
      <c r="F98" s="102">
        <f t="shared" si="7"/>
        <v>0</v>
      </c>
      <c r="G98" s="103"/>
      <c r="H98" s="129">
        <v>186</v>
      </c>
      <c r="I98" s="130">
        <v>62</v>
      </c>
      <c r="J98" s="131">
        <v>1</v>
      </c>
      <c r="K98" s="132">
        <f t="shared" si="8"/>
        <v>0</v>
      </c>
      <c r="L98" s="30"/>
      <c r="M98" s="30"/>
    </row>
    <row r="99" spans="1:13" ht="15" hidden="1">
      <c r="A99" s="98"/>
      <c r="B99" s="99" t="s">
        <v>259</v>
      </c>
      <c r="C99" s="100" t="s">
        <v>260</v>
      </c>
      <c r="D99" s="101">
        <v>0</v>
      </c>
      <c r="E99" s="102">
        <f t="shared" si="6"/>
        <v>12028</v>
      </c>
      <c r="F99" s="102">
        <f t="shared" si="7"/>
        <v>0</v>
      </c>
      <c r="G99" s="103"/>
      <c r="H99" s="129">
        <v>194</v>
      </c>
      <c r="I99" s="130">
        <v>62</v>
      </c>
      <c r="J99" s="131">
        <v>1</v>
      </c>
      <c r="K99" s="132">
        <f t="shared" si="8"/>
        <v>0</v>
      </c>
      <c r="L99" s="30"/>
      <c r="M99" s="30"/>
    </row>
    <row r="100" spans="1:13" ht="165" hidden="1">
      <c r="A100" s="98"/>
      <c r="B100" s="99" t="s">
        <v>217</v>
      </c>
      <c r="C100" s="100" t="s">
        <v>218</v>
      </c>
      <c r="D100" s="101">
        <v>0</v>
      </c>
      <c r="E100" s="102">
        <f>H100*I100*J100</f>
        <v>247380</v>
      </c>
      <c r="F100" s="102">
        <f t="shared" si="7"/>
        <v>0</v>
      </c>
      <c r="G100" s="103"/>
      <c r="H100" s="129">
        <v>1995</v>
      </c>
      <c r="I100" s="130">
        <v>62</v>
      </c>
      <c r="J100" s="131">
        <v>2</v>
      </c>
      <c r="K100" s="132">
        <f t="shared" si="8"/>
        <v>0</v>
      </c>
      <c r="L100" s="30"/>
      <c r="M100" s="30"/>
    </row>
    <row r="101" spans="1:13" ht="75" hidden="1">
      <c r="A101" s="98"/>
      <c r="B101" s="99" t="s">
        <v>219</v>
      </c>
      <c r="C101" s="100" t="s">
        <v>220</v>
      </c>
      <c r="D101" s="101">
        <v>0</v>
      </c>
      <c r="E101" s="102">
        <f t="shared" ref="E101:E114" si="9">H101*I101*J101</f>
        <v>37200</v>
      </c>
      <c r="F101" s="102">
        <f t="shared" si="7"/>
        <v>0</v>
      </c>
      <c r="G101" s="103"/>
      <c r="H101" s="129">
        <v>300</v>
      </c>
      <c r="I101" s="130">
        <v>62</v>
      </c>
      <c r="J101" s="131">
        <v>2</v>
      </c>
      <c r="K101" s="132">
        <f t="shared" si="8"/>
        <v>0</v>
      </c>
      <c r="L101" s="30"/>
      <c r="M101" s="30"/>
    </row>
    <row r="102" spans="1:13" hidden="1">
      <c r="A102" s="98"/>
      <c r="B102" s="99" t="s">
        <v>225</v>
      </c>
      <c r="C102" s="100" t="s">
        <v>226</v>
      </c>
      <c r="D102" s="101">
        <v>0</v>
      </c>
      <c r="E102" s="102">
        <f t="shared" si="9"/>
        <v>21824</v>
      </c>
      <c r="F102" s="102">
        <f t="shared" si="7"/>
        <v>0</v>
      </c>
      <c r="G102" s="103"/>
      <c r="H102" s="129">
        <v>352</v>
      </c>
      <c r="I102" s="130">
        <v>62</v>
      </c>
      <c r="J102" s="131">
        <v>1</v>
      </c>
      <c r="K102" s="132">
        <f t="shared" si="8"/>
        <v>0</v>
      </c>
      <c r="L102" s="30"/>
      <c r="M102" s="30"/>
    </row>
    <row r="103" spans="1:13" ht="15" hidden="1">
      <c r="A103" s="98"/>
      <c r="B103" s="99" t="s">
        <v>227</v>
      </c>
      <c r="C103" s="100" t="s">
        <v>228</v>
      </c>
      <c r="D103" s="101">
        <v>0</v>
      </c>
      <c r="E103" s="102">
        <f t="shared" si="9"/>
        <v>27900</v>
      </c>
      <c r="F103" s="102">
        <f t="shared" si="7"/>
        <v>0</v>
      </c>
      <c r="G103" s="103"/>
      <c r="H103" s="129">
        <v>300</v>
      </c>
      <c r="I103" s="130">
        <v>62</v>
      </c>
      <c r="J103" s="131">
        <v>1.5</v>
      </c>
      <c r="K103" s="132">
        <f t="shared" si="8"/>
        <v>0</v>
      </c>
      <c r="L103" s="30"/>
      <c r="M103" s="30"/>
    </row>
    <row r="104" spans="1:13" ht="15" hidden="1">
      <c r="A104" s="98"/>
      <c r="B104" s="99" t="s">
        <v>261</v>
      </c>
      <c r="C104" s="100" t="s">
        <v>262</v>
      </c>
      <c r="D104" s="101">
        <v>0</v>
      </c>
      <c r="E104" s="102">
        <f t="shared" si="9"/>
        <v>18600</v>
      </c>
      <c r="F104" s="102">
        <f t="shared" si="7"/>
        <v>0</v>
      </c>
      <c r="G104" s="103"/>
      <c r="H104" s="129">
        <v>300</v>
      </c>
      <c r="I104" s="130">
        <v>62</v>
      </c>
      <c r="J104" s="131">
        <v>1</v>
      </c>
      <c r="K104" s="132">
        <f t="shared" si="8"/>
        <v>0</v>
      </c>
      <c r="L104" s="30"/>
      <c r="M104" s="30"/>
    </row>
    <row r="105" spans="1:13" ht="15" hidden="1">
      <c r="A105" s="98"/>
      <c r="B105" s="99" t="s">
        <v>263</v>
      </c>
      <c r="C105" s="100" t="s">
        <v>264</v>
      </c>
      <c r="D105" s="101">
        <v>0</v>
      </c>
      <c r="E105" s="102">
        <f t="shared" si="9"/>
        <v>35712</v>
      </c>
      <c r="F105" s="102">
        <f t="shared" si="7"/>
        <v>0</v>
      </c>
      <c r="G105" s="103"/>
      <c r="H105" s="129">
        <v>384</v>
      </c>
      <c r="I105" s="130">
        <v>62</v>
      </c>
      <c r="J105" s="131">
        <v>1.5</v>
      </c>
      <c r="K105" s="132">
        <f t="shared" si="8"/>
        <v>0</v>
      </c>
      <c r="L105" s="30"/>
      <c r="M105" s="30"/>
    </row>
    <row r="106" spans="1:13" hidden="1">
      <c r="A106" s="98"/>
      <c r="B106" s="99" t="s">
        <v>265</v>
      </c>
      <c r="C106" s="100" t="s">
        <v>266</v>
      </c>
      <c r="D106" s="101">
        <v>0</v>
      </c>
      <c r="E106" s="102">
        <f t="shared" si="9"/>
        <v>89280</v>
      </c>
      <c r="F106" s="102">
        <f t="shared" si="7"/>
        <v>0</v>
      </c>
      <c r="G106" s="103"/>
      <c r="H106" s="129">
        <v>960</v>
      </c>
      <c r="I106" s="130">
        <v>62</v>
      </c>
      <c r="J106" s="131">
        <v>1.5</v>
      </c>
      <c r="K106" s="132">
        <f t="shared" si="8"/>
        <v>0</v>
      </c>
      <c r="L106" s="30"/>
      <c r="M106" s="30"/>
    </row>
    <row r="107" spans="1:13" hidden="1">
      <c r="A107" s="98"/>
      <c r="B107" s="99" t="s">
        <v>267</v>
      </c>
      <c r="C107" s="100" t="s">
        <v>268</v>
      </c>
      <c r="D107" s="101">
        <v>0</v>
      </c>
      <c r="E107" s="102">
        <f t="shared" si="9"/>
        <v>8246</v>
      </c>
      <c r="F107" s="102">
        <f t="shared" si="7"/>
        <v>0</v>
      </c>
      <c r="G107" s="103"/>
      <c r="H107" s="129">
        <v>133</v>
      </c>
      <c r="I107" s="130">
        <v>62</v>
      </c>
      <c r="J107" s="131">
        <v>1</v>
      </c>
      <c r="K107" s="132">
        <f t="shared" si="8"/>
        <v>0</v>
      </c>
      <c r="L107" s="30"/>
      <c r="M107" s="30"/>
    </row>
    <row r="108" spans="1:13" ht="15" hidden="1">
      <c r="A108" s="98"/>
      <c r="B108" s="99" t="s">
        <v>229</v>
      </c>
      <c r="C108" s="100" t="s">
        <v>230</v>
      </c>
      <c r="D108" s="101">
        <v>0</v>
      </c>
      <c r="E108" s="102">
        <f t="shared" si="9"/>
        <v>39308</v>
      </c>
      <c r="F108" s="102">
        <f t="shared" si="7"/>
        <v>0</v>
      </c>
      <c r="G108" s="103"/>
      <c r="H108" s="129">
        <v>634</v>
      </c>
      <c r="I108" s="130">
        <v>62</v>
      </c>
      <c r="J108" s="131">
        <v>1</v>
      </c>
      <c r="K108" s="132">
        <f t="shared" si="8"/>
        <v>0</v>
      </c>
      <c r="L108" s="30"/>
      <c r="M108" s="30"/>
    </row>
    <row r="109" spans="1:13" hidden="1">
      <c r="A109" s="98"/>
      <c r="B109" s="99" t="s">
        <v>231</v>
      </c>
      <c r="C109" s="100" t="s">
        <v>232</v>
      </c>
      <c r="D109" s="101">
        <v>0</v>
      </c>
      <c r="E109" s="102">
        <f t="shared" si="9"/>
        <v>13454</v>
      </c>
      <c r="F109" s="102">
        <f t="shared" si="7"/>
        <v>0</v>
      </c>
      <c r="G109" s="103"/>
      <c r="H109" s="129">
        <v>217</v>
      </c>
      <c r="I109" s="130">
        <v>62</v>
      </c>
      <c r="J109" s="131">
        <v>1</v>
      </c>
      <c r="K109" s="132">
        <f t="shared" si="8"/>
        <v>0</v>
      </c>
      <c r="L109" s="30"/>
      <c r="M109" s="30"/>
    </row>
    <row r="110" spans="1:13" ht="15" hidden="1">
      <c r="A110" s="98"/>
      <c r="B110" s="99" t="s">
        <v>233</v>
      </c>
      <c r="C110" s="100" t="s">
        <v>234</v>
      </c>
      <c r="D110" s="101">
        <v>0</v>
      </c>
      <c r="E110" s="102">
        <f t="shared" si="9"/>
        <v>2170</v>
      </c>
      <c r="F110" s="102">
        <f t="shared" si="7"/>
        <v>0</v>
      </c>
      <c r="G110" s="103"/>
      <c r="H110" s="129">
        <v>35</v>
      </c>
      <c r="I110" s="130">
        <v>62</v>
      </c>
      <c r="J110" s="131">
        <v>1</v>
      </c>
      <c r="K110" s="132">
        <f t="shared" si="8"/>
        <v>0</v>
      </c>
      <c r="L110" s="30"/>
      <c r="M110" s="30"/>
    </row>
    <row r="111" spans="1:13" ht="15" hidden="1">
      <c r="A111" s="98"/>
      <c r="B111" s="99" t="s">
        <v>235</v>
      </c>
      <c r="C111" s="100" t="s">
        <v>236</v>
      </c>
      <c r="D111" s="101">
        <v>0</v>
      </c>
      <c r="E111" s="102">
        <f t="shared" si="9"/>
        <v>7626</v>
      </c>
      <c r="F111" s="102">
        <f t="shared" si="7"/>
        <v>0</v>
      </c>
      <c r="G111" s="103"/>
      <c r="H111" s="129">
        <v>123</v>
      </c>
      <c r="I111" s="130">
        <v>62</v>
      </c>
      <c r="J111" s="131">
        <v>1</v>
      </c>
      <c r="K111" s="132">
        <f t="shared" si="8"/>
        <v>0</v>
      </c>
      <c r="L111" s="30"/>
      <c r="M111" s="30"/>
    </row>
    <row r="112" spans="1:13" ht="15" hidden="1">
      <c r="A112" s="98"/>
      <c r="B112" s="99" t="s">
        <v>237</v>
      </c>
      <c r="C112" s="100" t="s">
        <v>238</v>
      </c>
      <c r="D112" s="101">
        <v>0</v>
      </c>
      <c r="E112" s="102">
        <f t="shared" si="9"/>
        <v>128786.40000000001</v>
      </c>
      <c r="F112" s="102">
        <f t="shared" si="7"/>
        <v>0</v>
      </c>
      <c r="G112" s="103"/>
      <c r="H112" s="129">
        <v>1154</v>
      </c>
      <c r="I112" s="130">
        <v>62</v>
      </c>
      <c r="J112" s="131">
        <v>1.8</v>
      </c>
      <c r="K112" s="132">
        <f t="shared" si="8"/>
        <v>0</v>
      </c>
      <c r="L112" s="30"/>
      <c r="M112" s="30"/>
    </row>
    <row r="113" spans="1:13" hidden="1">
      <c r="A113" s="98"/>
      <c r="B113" s="99" t="s">
        <v>239</v>
      </c>
      <c r="C113" s="100" t="s">
        <v>240</v>
      </c>
      <c r="D113" s="101">
        <v>0</v>
      </c>
      <c r="E113" s="102">
        <f t="shared" si="9"/>
        <v>14284.800000000001</v>
      </c>
      <c r="F113" s="102">
        <f t="shared" si="7"/>
        <v>0</v>
      </c>
      <c r="G113" s="103"/>
      <c r="H113" s="129">
        <v>128</v>
      </c>
      <c r="I113" s="130">
        <v>62</v>
      </c>
      <c r="J113" s="131">
        <v>1.8</v>
      </c>
      <c r="K113" s="132">
        <f t="shared" si="8"/>
        <v>0</v>
      </c>
      <c r="L113" s="30"/>
      <c r="M113" s="30"/>
    </row>
    <row r="114" spans="1:13" hidden="1">
      <c r="A114" s="98"/>
      <c r="B114" s="99" t="s">
        <v>241</v>
      </c>
      <c r="C114" s="100" t="s">
        <v>242</v>
      </c>
      <c r="D114" s="101">
        <v>0</v>
      </c>
      <c r="E114" s="102">
        <f t="shared" si="9"/>
        <v>18600</v>
      </c>
      <c r="F114" s="102">
        <f t="shared" si="7"/>
        <v>0</v>
      </c>
      <c r="G114" s="103"/>
      <c r="H114" s="129">
        <v>300</v>
      </c>
      <c r="I114" s="130">
        <v>62</v>
      </c>
      <c r="J114" s="131">
        <v>1</v>
      </c>
      <c r="K114" s="132">
        <f t="shared" si="8"/>
        <v>0</v>
      </c>
      <c r="L114" s="30"/>
      <c r="M114" s="30"/>
    </row>
    <row r="115" spans="1:13" hidden="1">
      <c r="A115" s="98"/>
      <c r="B115" s="99" t="s">
        <v>243</v>
      </c>
      <c r="C115" s="100" t="s">
        <v>244</v>
      </c>
      <c r="D115" s="101">
        <v>0</v>
      </c>
      <c r="E115" s="102">
        <f>H115*I115*J115</f>
        <v>17360</v>
      </c>
      <c r="F115" s="102">
        <f t="shared" si="7"/>
        <v>0</v>
      </c>
      <c r="G115" s="103"/>
      <c r="H115" s="133">
        <v>140</v>
      </c>
      <c r="I115" s="134">
        <v>62</v>
      </c>
      <c r="J115" s="135">
        <v>2</v>
      </c>
      <c r="K115" s="136">
        <f t="shared" si="8"/>
        <v>0</v>
      </c>
      <c r="L115" s="30"/>
      <c r="M115" s="30"/>
    </row>
    <row r="116" spans="1:13" ht="15" hidden="1">
      <c r="A116" s="98"/>
      <c r="B116" s="254" t="s">
        <v>245</v>
      </c>
      <c r="C116" s="255"/>
      <c r="D116" s="255"/>
      <c r="E116" s="256"/>
      <c r="F116" s="104">
        <f>SUM(F92:F115)</f>
        <v>0</v>
      </c>
      <c r="G116" s="103"/>
      <c r="H116" s="137"/>
      <c r="I116" s="137"/>
      <c r="J116" s="138"/>
      <c r="K116" s="139"/>
      <c r="L116" s="30"/>
      <c r="M116" s="30"/>
    </row>
    <row r="117" spans="1:13" ht="15" hidden="1">
      <c r="H117" s="126"/>
      <c r="I117" s="126"/>
      <c r="J117" s="126"/>
      <c r="K117" s="126"/>
      <c r="L117" s="30"/>
      <c r="M117" s="30"/>
    </row>
    <row r="118" spans="1:13" ht="15">
      <c r="A118" s="94"/>
      <c r="B118" s="252" t="s">
        <v>492</v>
      </c>
      <c r="C118" s="253"/>
      <c r="D118" s="170" t="s">
        <v>213</v>
      </c>
      <c r="E118" s="170" t="s">
        <v>2</v>
      </c>
      <c r="F118" s="171" t="s">
        <v>214</v>
      </c>
      <c r="G118" s="97"/>
      <c r="H118" s="127" t="s">
        <v>385</v>
      </c>
      <c r="I118" s="127" t="s">
        <v>386</v>
      </c>
      <c r="J118" s="127" t="s">
        <v>387</v>
      </c>
      <c r="K118" s="127" t="s">
        <v>388</v>
      </c>
      <c r="L118" s="30"/>
      <c r="M118" s="30"/>
    </row>
    <row r="119" spans="1:13" ht="15">
      <c r="A119" s="98"/>
      <c r="B119" s="155" t="s">
        <v>215</v>
      </c>
      <c r="C119" s="154" t="s">
        <v>493</v>
      </c>
      <c r="D119" s="172">
        <v>2</v>
      </c>
      <c r="E119" s="157">
        <f t="shared" ref="E119:E132" si="10">H119*I119*J119</f>
        <v>93000</v>
      </c>
      <c r="F119" s="157">
        <f t="shared" ref="F119:F133" si="11">E119*D119</f>
        <v>186000</v>
      </c>
      <c r="G119" s="103"/>
      <c r="H119" s="129">
        <v>750</v>
      </c>
      <c r="I119" s="130">
        <v>62</v>
      </c>
      <c r="J119" s="131">
        <v>2</v>
      </c>
      <c r="K119" s="132">
        <f t="shared" ref="K119:K133" si="12">H119*D119</f>
        <v>1500</v>
      </c>
      <c r="L119" s="30"/>
      <c r="M119" s="30"/>
    </row>
    <row r="120" spans="1:13" ht="66.75" customHeight="1">
      <c r="A120" s="98"/>
      <c r="B120" s="155" t="s">
        <v>247</v>
      </c>
      <c r="C120" s="154" t="s">
        <v>248</v>
      </c>
      <c r="D120" s="172">
        <v>2</v>
      </c>
      <c r="E120" s="157">
        <f t="shared" si="10"/>
        <v>79236</v>
      </c>
      <c r="F120" s="157">
        <f t="shared" si="11"/>
        <v>158472</v>
      </c>
      <c r="G120" s="103"/>
      <c r="H120" s="129">
        <v>639</v>
      </c>
      <c r="I120" s="130">
        <v>62</v>
      </c>
      <c r="J120" s="131">
        <v>2</v>
      </c>
      <c r="K120" s="132">
        <f t="shared" si="12"/>
        <v>1278</v>
      </c>
      <c r="L120" s="30"/>
      <c r="M120" s="30"/>
    </row>
    <row r="121" spans="1:13" ht="51" hidden="1">
      <c r="A121" s="98"/>
      <c r="B121" s="155" t="s">
        <v>270</v>
      </c>
      <c r="C121" s="154" t="s">
        <v>271</v>
      </c>
      <c r="D121" s="172">
        <v>0</v>
      </c>
      <c r="E121" s="157">
        <f t="shared" si="10"/>
        <v>79236</v>
      </c>
      <c r="F121" s="157">
        <f t="shared" si="11"/>
        <v>0</v>
      </c>
      <c r="G121" s="103"/>
      <c r="H121" s="129">
        <v>639</v>
      </c>
      <c r="I121" s="130">
        <v>62</v>
      </c>
      <c r="J121" s="131">
        <v>2</v>
      </c>
      <c r="K121" s="132">
        <f t="shared" si="12"/>
        <v>0</v>
      </c>
      <c r="L121" s="30"/>
      <c r="M121" s="30"/>
    </row>
    <row r="122" spans="1:13" ht="51">
      <c r="A122" s="98"/>
      <c r="B122" s="155" t="s">
        <v>249</v>
      </c>
      <c r="C122" s="154" t="s">
        <v>250</v>
      </c>
      <c r="D122" s="172">
        <v>2</v>
      </c>
      <c r="E122" s="157">
        <f t="shared" si="10"/>
        <v>7316</v>
      </c>
      <c r="F122" s="157">
        <f t="shared" si="11"/>
        <v>14632</v>
      </c>
      <c r="G122" s="103"/>
      <c r="H122" s="129">
        <v>118</v>
      </c>
      <c r="I122" s="130">
        <v>62</v>
      </c>
      <c r="J122" s="131">
        <v>1</v>
      </c>
      <c r="K122" s="132">
        <f t="shared" si="12"/>
        <v>236</v>
      </c>
      <c r="L122" s="30"/>
      <c r="M122" s="30"/>
    </row>
    <row r="123" spans="1:13" ht="15">
      <c r="A123" s="98"/>
      <c r="B123" s="155" t="s">
        <v>251</v>
      </c>
      <c r="C123" s="154" t="s">
        <v>252</v>
      </c>
      <c r="D123" s="172">
        <v>2</v>
      </c>
      <c r="E123" s="157">
        <f t="shared" si="10"/>
        <v>28520</v>
      </c>
      <c r="F123" s="157">
        <f t="shared" si="11"/>
        <v>57040</v>
      </c>
      <c r="G123" s="103"/>
      <c r="H123" s="129">
        <v>460</v>
      </c>
      <c r="I123" s="130">
        <v>62</v>
      </c>
      <c r="J123" s="131">
        <v>1</v>
      </c>
      <c r="K123" s="132">
        <f t="shared" si="12"/>
        <v>920</v>
      </c>
      <c r="L123" s="30"/>
      <c r="M123" s="30"/>
    </row>
    <row r="124" spans="1:13" ht="15">
      <c r="A124" s="98"/>
      <c r="B124" s="155" t="s">
        <v>253</v>
      </c>
      <c r="C124" s="154" t="s">
        <v>254</v>
      </c>
      <c r="D124" s="172">
        <v>2</v>
      </c>
      <c r="E124" s="157">
        <f t="shared" si="10"/>
        <v>7440</v>
      </c>
      <c r="F124" s="157">
        <f t="shared" si="11"/>
        <v>14880</v>
      </c>
      <c r="G124" s="103"/>
      <c r="H124" s="129">
        <v>120</v>
      </c>
      <c r="I124" s="130">
        <v>62</v>
      </c>
      <c r="J124" s="131">
        <v>1</v>
      </c>
      <c r="K124" s="132">
        <f t="shared" si="12"/>
        <v>240</v>
      </c>
      <c r="L124" s="30"/>
      <c r="M124" s="30"/>
    </row>
    <row r="125" spans="1:13" ht="25.5">
      <c r="A125" s="98"/>
      <c r="B125" s="155" t="s">
        <v>255</v>
      </c>
      <c r="C125" s="154" t="s">
        <v>256</v>
      </c>
      <c r="D125" s="172">
        <v>2</v>
      </c>
      <c r="E125" s="157">
        <f t="shared" si="10"/>
        <v>19840</v>
      </c>
      <c r="F125" s="157">
        <f t="shared" si="11"/>
        <v>39680</v>
      </c>
      <c r="G125" s="103"/>
      <c r="H125" s="129">
        <v>320</v>
      </c>
      <c r="I125" s="130">
        <v>62</v>
      </c>
      <c r="J125" s="131">
        <v>1</v>
      </c>
      <c r="K125" s="132">
        <f t="shared" si="12"/>
        <v>640</v>
      </c>
      <c r="L125" s="30"/>
      <c r="M125" s="30"/>
    </row>
    <row r="126" spans="1:13" ht="15">
      <c r="A126" s="98"/>
      <c r="B126" s="155" t="s">
        <v>257</v>
      </c>
      <c r="C126" s="154" t="s">
        <v>258</v>
      </c>
      <c r="D126" s="172">
        <v>2</v>
      </c>
      <c r="E126" s="157">
        <f t="shared" si="10"/>
        <v>11532</v>
      </c>
      <c r="F126" s="157">
        <f t="shared" si="11"/>
        <v>23064</v>
      </c>
      <c r="G126" s="103"/>
      <c r="H126" s="129">
        <v>186</v>
      </c>
      <c r="I126" s="130">
        <v>62</v>
      </c>
      <c r="J126" s="131">
        <v>1</v>
      </c>
      <c r="K126" s="132">
        <f t="shared" si="12"/>
        <v>372</v>
      </c>
      <c r="L126" s="30"/>
      <c r="M126" s="30"/>
    </row>
    <row r="127" spans="1:13" ht="15">
      <c r="A127" s="98"/>
      <c r="B127" s="155" t="s">
        <v>259</v>
      </c>
      <c r="C127" s="154" t="s">
        <v>260</v>
      </c>
      <c r="D127" s="172">
        <v>2</v>
      </c>
      <c r="E127" s="157">
        <f t="shared" si="10"/>
        <v>12028</v>
      </c>
      <c r="F127" s="157">
        <f t="shared" si="11"/>
        <v>24056</v>
      </c>
      <c r="G127" s="103"/>
      <c r="H127" s="129">
        <v>194</v>
      </c>
      <c r="I127" s="130">
        <v>62</v>
      </c>
      <c r="J127" s="131">
        <v>1</v>
      </c>
      <c r="K127" s="132">
        <f t="shared" si="12"/>
        <v>388</v>
      </c>
      <c r="L127" s="30"/>
      <c r="M127" s="30"/>
    </row>
    <row r="128" spans="1:13" ht="15" hidden="1">
      <c r="A128" s="98"/>
      <c r="B128" s="155" t="s">
        <v>261</v>
      </c>
      <c r="C128" s="154" t="s">
        <v>262</v>
      </c>
      <c r="D128" s="172">
        <v>0</v>
      </c>
      <c r="E128" s="157">
        <f t="shared" si="10"/>
        <v>18600</v>
      </c>
      <c r="F128" s="157">
        <f t="shared" si="11"/>
        <v>0</v>
      </c>
      <c r="G128" s="103"/>
      <c r="H128" s="129">
        <v>300</v>
      </c>
      <c r="I128" s="130">
        <v>62</v>
      </c>
      <c r="J128" s="131">
        <v>1</v>
      </c>
      <c r="K128" s="132">
        <f t="shared" si="12"/>
        <v>0</v>
      </c>
      <c r="L128" s="30"/>
      <c r="M128" s="30"/>
    </row>
    <row r="129" spans="1:13" ht="15" hidden="1">
      <c r="A129" s="98"/>
      <c r="B129" s="155" t="s">
        <v>263</v>
      </c>
      <c r="C129" s="154" t="s">
        <v>264</v>
      </c>
      <c r="D129" s="172">
        <v>0</v>
      </c>
      <c r="E129" s="157">
        <f t="shared" si="10"/>
        <v>35712</v>
      </c>
      <c r="F129" s="157">
        <f t="shared" si="11"/>
        <v>0</v>
      </c>
      <c r="G129" s="103"/>
      <c r="H129" s="129">
        <v>384</v>
      </c>
      <c r="I129" s="130">
        <v>62</v>
      </c>
      <c r="J129" s="131">
        <v>1.5</v>
      </c>
      <c r="K129" s="132">
        <f t="shared" si="12"/>
        <v>0</v>
      </c>
      <c r="L129" s="30"/>
      <c r="M129" s="30"/>
    </row>
    <row r="130" spans="1:13" ht="25.5">
      <c r="A130" s="98"/>
      <c r="B130" s="155" t="s">
        <v>267</v>
      </c>
      <c r="C130" s="154" t="s">
        <v>268</v>
      </c>
      <c r="D130" s="172">
        <v>2</v>
      </c>
      <c r="E130" s="157">
        <f t="shared" si="10"/>
        <v>8246</v>
      </c>
      <c r="F130" s="157">
        <f t="shared" si="11"/>
        <v>16492</v>
      </c>
      <c r="G130" s="103"/>
      <c r="H130" s="129">
        <v>133</v>
      </c>
      <c r="I130" s="130">
        <v>62</v>
      </c>
      <c r="J130" s="131">
        <v>1</v>
      </c>
      <c r="K130" s="132">
        <f t="shared" si="12"/>
        <v>266</v>
      </c>
      <c r="L130" s="30"/>
      <c r="M130" s="30"/>
    </row>
    <row r="131" spans="1:13" ht="15" hidden="1">
      <c r="A131" s="98"/>
      <c r="B131" s="155" t="s">
        <v>272</v>
      </c>
      <c r="C131" s="154" t="s">
        <v>273</v>
      </c>
      <c r="D131" s="156">
        <v>0</v>
      </c>
      <c r="E131" s="157">
        <f t="shared" si="10"/>
        <v>9548</v>
      </c>
      <c r="F131" s="157">
        <f t="shared" si="11"/>
        <v>0</v>
      </c>
      <c r="G131" s="103"/>
      <c r="H131" s="129">
        <v>154</v>
      </c>
      <c r="I131" s="130">
        <v>62</v>
      </c>
      <c r="J131" s="131">
        <v>1</v>
      </c>
      <c r="K131" s="132">
        <f t="shared" si="12"/>
        <v>0</v>
      </c>
      <c r="L131" s="30"/>
      <c r="M131" s="30"/>
    </row>
    <row r="132" spans="1:13" ht="25.5" hidden="1">
      <c r="A132" s="98"/>
      <c r="B132" s="155" t="s">
        <v>241</v>
      </c>
      <c r="C132" s="154" t="s">
        <v>242</v>
      </c>
      <c r="D132" s="156">
        <v>0</v>
      </c>
      <c r="E132" s="157">
        <f t="shared" si="10"/>
        <v>18600</v>
      </c>
      <c r="F132" s="157">
        <f t="shared" si="11"/>
        <v>0</v>
      </c>
      <c r="G132" s="103"/>
      <c r="H132" s="129">
        <v>300</v>
      </c>
      <c r="I132" s="130">
        <v>62</v>
      </c>
      <c r="J132" s="131">
        <v>1</v>
      </c>
      <c r="K132" s="132">
        <f t="shared" si="12"/>
        <v>0</v>
      </c>
      <c r="L132" s="30"/>
      <c r="M132" s="30"/>
    </row>
    <row r="133" spans="1:13" ht="25.5" hidden="1">
      <c r="A133" s="98"/>
      <c r="B133" s="155" t="s">
        <v>243</v>
      </c>
      <c r="C133" s="154" t="s">
        <v>244</v>
      </c>
      <c r="D133" s="156">
        <v>0</v>
      </c>
      <c r="E133" s="157">
        <f>H133*I133*J133</f>
        <v>17360</v>
      </c>
      <c r="F133" s="157">
        <f t="shared" si="11"/>
        <v>0</v>
      </c>
      <c r="G133" s="103"/>
      <c r="H133" s="133">
        <v>140</v>
      </c>
      <c r="I133" s="134">
        <v>62</v>
      </c>
      <c r="J133" s="135">
        <v>2</v>
      </c>
      <c r="K133" s="136">
        <f t="shared" si="12"/>
        <v>0</v>
      </c>
      <c r="L133" s="30"/>
      <c r="M133" s="30"/>
    </row>
    <row r="134" spans="1:13" s="196" customFormat="1" ht="12.75">
      <c r="A134" s="158"/>
      <c r="B134" s="189"/>
      <c r="C134" s="190"/>
      <c r="D134" s="266" t="s">
        <v>490</v>
      </c>
      <c r="E134" s="267"/>
      <c r="F134" s="191">
        <f>SUM(F119:F133)</f>
        <v>534316</v>
      </c>
      <c r="G134" s="192"/>
      <c r="H134" s="193"/>
      <c r="I134" s="193"/>
      <c r="J134" s="194"/>
      <c r="K134" s="195"/>
      <c r="L134" s="43"/>
      <c r="M134" s="43"/>
    </row>
    <row r="135" spans="1:13" ht="8.1" customHeight="1">
      <c r="H135" s="126"/>
      <c r="I135" s="126"/>
      <c r="J135" s="126"/>
      <c r="K135" s="126"/>
      <c r="L135" s="30"/>
      <c r="M135" s="30"/>
    </row>
    <row r="136" spans="1:13" ht="15">
      <c r="B136" s="252" t="s">
        <v>494</v>
      </c>
      <c r="C136" s="253"/>
      <c r="D136" s="170" t="s">
        <v>213</v>
      </c>
      <c r="E136" s="170" t="s">
        <v>2</v>
      </c>
      <c r="F136" s="171" t="s">
        <v>214</v>
      </c>
      <c r="H136" s="126"/>
      <c r="I136" s="126"/>
      <c r="J136" s="126"/>
      <c r="K136" s="126"/>
      <c r="L136" s="30"/>
      <c r="M136" s="30"/>
    </row>
    <row r="137" spans="1:13" ht="15">
      <c r="A137" s="98"/>
      <c r="B137" s="155" t="s">
        <v>215</v>
      </c>
      <c r="C137" s="154" t="s">
        <v>493</v>
      </c>
      <c r="D137" s="172">
        <v>1</v>
      </c>
      <c r="E137" s="157">
        <f t="shared" ref="E137:E152" si="13">H137*I137*J137</f>
        <v>93000</v>
      </c>
      <c r="F137" s="157">
        <f t="shared" ref="F137:F153" si="14">E137*D137</f>
        <v>93000</v>
      </c>
      <c r="G137" s="103"/>
      <c r="H137" s="129">
        <v>750</v>
      </c>
      <c r="I137" s="130">
        <v>62</v>
      </c>
      <c r="J137" s="131">
        <v>2</v>
      </c>
      <c r="K137" s="132">
        <f t="shared" ref="K137:K153" si="15">H137*D137</f>
        <v>750</v>
      </c>
      <c r="L137" s="30"/>
      <c r="M137" s="30"/>
    </row>
    <row r="138" spans="1:13" ht="65.25" customHeight="1">
      <c r="A138" s="98"/>
      <c r="B138" s="155" t="s">
        <v>247</v>
      </c>
      <c r="C138" s="154" t="s">
        <v>248</v>
      </c>
      <c r="D138" s="172">
        <v>1</v>
      </c>
      <c r="E138" s="157">
        <f t="shared" si="13"/>
        <v>79236</v>
      </c>
      <c r="F138" s="157">
        <f t="shared" si="14"/>
        <v>79236</v>
      </c>
      <c r="G138" s="103"/>
      <c r="H138" s="129">
        <v>639</v>
      </c>
      <c r="I138" s="130">
        <v>62</v>
      </c>
      <c r="J138" s="131">
        <v>2</v>
      </c>
      <c r="K138" s="132">
        <f t="shared" si="15"/>
        <v>639</v>
      </c>
      <c r="L138" s="30"/>
      <c r="M138" s="30"/>
    </row>
    <row r="139" spans="1:13" ht="51" hidden="1">
      <c r="A139" s="98"/>
      <c r="B139" s="155" t="s">
        <v>270</v>
      </c>
      <c r="C139" s="154" t="s">
        <v>271</v>
      </c>
      <c r="D139" s="172">
        <v>0</v>
      </c>
      <c r="E139" s="157">
        <f t="shared" si="13"/>
        <v>79236</v>
      </c>
      <c r="F139" s="157">
        <f t="shared" si="14"/>
        <v>0</v>
      </c>
      <c r="G139" s="103"/>
      <c r="H139" s="129">
        <v>639</v>
      </c>
      <c r="I139" s="130">
        <v>62</v>
      </c>
      <c r="J139" s="131">
        <v>2</v>
      </c>
      <c r="K139" s="132">
        <f t="shared" si="15"/>
        <v>0</v>
      </c>
      <c r="L139" s="30"/>
      <c r="M139" s="30"/>
    </row>
    <row r="140" spans="1:13" ht="51">
      <c r="A140" s="98"/>
      <c r="B140" s="155" t="s">
        <v>249</v>
      </c>
      <c r="C140" s="154" t="s">
        <v>250</v>
      </c>
      <c r="D140" s="172">
        <v>1</v>
      </c>
      <c r="E140" s="157">
        <f t="shared" si="13"/>
        <v>7316</v>
      </c>
      <c r="F140" s="157">
        <f t="shared" si="14"/>
        <v>7316</v>
      </c>
      <c r="G140" s="103"/>
      <c r="H140" s="129">
        <v>118</v>
      </c>
      <c r="I140" s="130">
        <v>62</v>
      </c>
      <c r="J140" s="131">
        <v>1</v>
      </c>
      <c r="K140" s="132">
        <f t="shared" si="15"/>
        <v>118</v>
      </c>
      <c r="L140" s="30"/>
      <c r="M140" s="30"/>
    </row>
    <row r="141" spans="1:13" ht="15">
      <c r="A141" s="98"/>
      <c r="B141" s="155" t="s">
        <v>251</v>
      </c>
      <c r="C141" s="154" t="s">
        <v>252</v>
      </c>
      <c r="D141" s="172">
        <v>1</v>
      </c>
      <c r="E141" s="157">
        <f t="shared" si="13"/>
        <v>28520</v>
      </c>
      <c r="F141" s="157">
        <f t="shared" si="14"/>
        <v>28520</v>
      </c>
      <c r="G141" s="103"/>
      <c r="H141" s="129">
        <v>460</v>
      </c>
      <c r="I141" s="130">
        <v>62</v>
      </c>
      <c r="J141" s="131">
        <v>1</v>
      </c>
      <c r="K141" s="132">
        <f t="shared" si="15"/>
        <v>460</v>
      </c>
      <c r="L141" s="30"/>
      <c r="M141" s="30"/>
    </row>
    <row r="142" spans="1:13" ht="15">
      <c r="A142" s="98"/>
      <c r="B142" s="155" t="s">
        <v>253</v>
      </c>
      <c r="C142" s="154" t="s">
        <v>254</v>
      </c>
      <c r="D142" s="172">
        <v>1</v>
      </c>
      <c r="E142" s="157">
        <f t="shared" si="13"/>
        <v>7440</v>
      </c>
      <c r="F142" s="157">
        <f t="shared" si="14"/>
        <v>7440</v>
      </c>
      <c r="G142" s="103"/>
      <c r="H142" s="129">
        <v>120</v>
      </c>
      <c r="I142" s="130">
        <v>62</v>
      </c>
      <c r="J142" s="131">
        <v>1</v>
      </c>
      <c r="K142" s="132">
        <f t="shared" si="15"/>
        <v>120</v>
      </c>
      <c r="L142" s="30"/>
      <c r="M142" s="30"/>
    </row>
    <row r="143" spans="1:13" ht="25.5">
      <c r="A143" s="98"/>
      <c r="B143" s="155" t="s">
        <v>255</v>
      </c>
      <c r="C143" s="154" t="s">
        <v>256</v>
      </c>
      <c r="D143" s="172">
        <v>1</v>
      </c>
      <c r="E143" s="157">
        <f t="shared" si="13"/>
        <v>19840</v>
      </c>
      <c r="F143" s="157">
        <f t="shared" si="14"/>
        <v>19840</v>
      </c>
      <c r="G143" s="103"/>
      <c r="H143" s="129">
        <v>320</v>
      </c>
      <c r="I143" s="130">
        <v>62</v>
      </c>
      <c r="J143" s="131">
        <v>1</v>
      </c>
      <c r="K143" s="132">
        <f t="shared" si="15"/>
        <v>320</v>
      </c>
      <c r="L143" s="30"/>
      <c r="M143" s="30"/>
    </row>
    <row r="144" spans="1:13" ht="15">
      <c r="A144" s="98"/>
      <c r="B144" s="155" t="s">
        <v>257</v>
      </c>
      <c r="C144" s="154" t="s">
        <v>258</v>
      </c>
      <c r="D144" s="172">
        <v>1</v>
      </c>
      <c r="E144" s="157">
        <f t="shared" si="13"/>
        <v>11532</v>
      </c>
      <c r="F144" s="157">
        <f t="shared" si="14"/>
        <v>11532</v>
      </c>
      <c r="G144" s="103"/>
      <c r="H144" s="129">
        <v>186</v>
      </c>
      <c r="I144" s="130">
        <v>62</v>
      </c>
      <c r="J144" s="131">
        <v>1</v>
      </c>
      <c r="K144" s="132">
        <f t="shared" si="15"/>
        <v>186</v>
      </c>
      <c r="L144" s="30"/>
      <c r="M144" s="30"/>
    </row>
    <row r="145" spans="1:13" ht="15" customHeight="1">
      <c r="A145" s="98"/>
      <c r="B145" s="155" t="s">
        <v>259</v>
      </c>
      <c r="C145" s="154" t="s">
        <v>260</v>
      </c>
      <c r="D145" s="172">
        <v>1</v>
      </c>
      <c r="E145" s="157">
        <f t="shared" si="13"/>
        <v>12028</v>
      </c>
      <c r="F145" s="157">
        <f t="shared" si="14"/>
        <v>12028</v>
      </c>
      <c r="G145" s="103"/>
      <c r="H145" s="129">
        <v>194</v>
      </c>
      <c r="I145" s="130">
        <v>62</v>
      </c>
      <c r="J145" s="131">
        <v>1</v>
      </c>
      <c r="K145" s="132">
        <f t="shared" si="15"/>
        <v>194</v>
      </c>
      <c r="L145" s="30"/>
      <c r="M145" s="30"/>
    </row>
    <row r="146" spans="1:13" ht="15" hidden="1" customHeight="1">
      <c r="A146" s="98"/>
      <c r="B146" s="155" t="s">
        <v>261</v>
      </c>
      <c r="C146" s="154" t="s">
        <v>262</v>
      </c>
      <c r="D146" s="172">
        <v>0</v>
      </c>
      <c r="E146" s="157">
        <f t="shared" si="13"/>
        <v>18600</v>
      </c>
      <c r="F146" s="157">
        <f t="shared" si="14"/>
        <v>0</v>
      </c>
      <c r="G146" s="103"/>
      <c r="H146" s="129">
        <v>300</v>
      </c>
      <c r="I146" s="130">
        <v>62</v>
      </c>
      <c r="J146" s="131">
        <v>1</v>
      </c>
      <c r="K146" s="132">
        <f t="shared" si="15"/>
        <v>0</v>
      </c>
      <c r="L146" s="30"/>
      <c r="M146" s="30"/>
    </row>
    <row r="147" spans="1:13" ht="18" customHeight="1">
      <c r="A147" s="98"/>
      <c r="B147" s="155" t="s">
        <v>241</v>
      </c>
      <c r="C147" s="154" t="s">
        <v>242</v>
      </c>
      <c r="D147" s="172">
        <v>1</v>
      </c>
      <c r="E147" s="157">
        <f t="shared" si="13"/>
        <v>18600</v>
      </c>
      <c r="F147" s="157">
        <f t="shared" si="14"/>
        <v>18600</v>
      </c>
      <c r="G147" s="103"/>
      <c r="H147" s="129">
        <v>300</v>
      </c>
      <c r="I147" s="130">
        <v>62</v>
      </c>
      <c r="J147" s="131">
        <v>1</v>
      </c>
      <c r="K147" s="132">
        <f t="shared" si="15"/>
        <v>300</v>
      </c>
      <c r="L147" s="30"/>
      <c r="M147" s="30"/>
    </row>
    <row r="148" spans="1:13" ht="25.5">
      <c r="A148" s="98"/>
      <c r="B148" s="155" t="s">
        <v>243</v>
      </c>
      <c r="C148" s="154" t="s">
        <v>244</v>
      </c>
      <c r="D148" s="172">
        <v>1</v>
      </c>
      <c r="E148" s="157">
        <f>H148*I148*J148</f>
        <v>17360</v>
      </c>
      <c r="F148" s="157">
        <f t="shared" si="14"/>
        <v>17360</v>
      </c>
      <c r="G148" s="103"/>
      <c r="H148" s="133">
        <v>140</v>
      </c>
      <c r="I148" s="134">
        <v>62</v>
      </c>
      <c r="J148" s="135">
        <v>2</v>
      </c>
      <c r="K148" s="136">
        <f t="shared" si="15"/>
        <v>140</v>
      </c>
      <c r="L148" s="30"/>
      <c r="M148" s="30"/>
    </row>
    <row r="149" spans="1:13" ht="15" hidden="1" customHeight="1">
      <c r="A149" s="98"/>
      <c r="B149" s="155" t="s">
        <v>263</v>
      </c>
      <c r="C149" s="154" t="s">
        <v>264</v>
      </c>
      <c r="D149" s="172">
        <v>0</v>
      </c>
      <c r="E149" s="157">
        <f t="shared" si="13"/>
        <v>35712</v>
      </c>
      <c r="F149" s="157">
        <f t="shared" si="14"/>
        <v>0</v>
      </c>
      <c r="G149" s="103"/>
      <c r="H149" s="129">
        <v>384</v>
      </c>
      <c r="I149" s="130">
        <v>62</v>
      </c>
      <c r="J149" s="131">
        <v>1.5</v>
      </c>
      <c r="K149" s="132">
        <f t="shared" si="15"/>
        <v>0</v>
      </c>
      <c r="L149" s="30"/>
      <c r="M149" s="30"/>
    </row>
    <row r="150" spans="1:13" ht="15" customHeight="1">
      <c r="A150" s="98"/>
      <c r="B150" s="155" t="s">
        <v>267</v>
      </c>
      <c r="C150" s="154" t="s">
        <v>268</v>
      </c>
      <c r="D150" s="172">
        <v>1</v>
      </c>
      <c r="E150" s="157">
        <f t="shared" si="13"/>
        <v>8246</v>
      </c>
      <c r="F150" s="157">
        <f t="shared" si="14"/>
        <v>8246</v>
      </c>
      <c r="G150" s="103"/>
      <c r="H150" s="129">
        <v>133</v>
      </c>
      <c r="I150" s="130">
        <v>62</v>
      </c>
      <c r="J150" s="131">
        <v>1</v>
      </c>
      <c r="K150" s="132">
        <f t="shared" si="15"/>
        <v>133</v>
      </c>
      <c r="L150" s="30"/>
      <c r="M150" s="30"/>
    </row>
    <row r="151" spans="1:13" ht="15" hidden="1">
      <c r="A151" s="98"/>
      <c r="B151" s="155" t="s">
        <v>272</v>
      </c>
      <c r="C151" s="154" t="s">
        <v>273</v>
      </c>
      <c r="D151" s="156">
        <v>0</v>
      </c>
      <c r="E151" s="157">
        <f t="shared" si="13"/>
        <v>9548</v>
      </c>
      <c r="F151" s="157">
        <f t="shared" si="14"/>
        <v>0</v>
      </c>
      <c r="G151" s="103"/>
      <c r="H151" s="129">
        <v>154</v>
      </c>
      <c r="I151" s="130">
        <v>62</v>
      </c>
      <c r="J151" s="131">
        <v>1</v>
      </c>
      <c r="K151" s="132">
        <f t="shared" si="15"/>
        <v>0</v>
      </c>
      <c r="L151" s="30"/>
      <c r="M151" s="30"/>
    </row>
    <row r="152" spans="1:13" ht="25.5" hidden="1">
      <c r="A152" s="98"/>
      <c r="B152" s="155" t="s">
        <v>241</v>
      </c>
      <c r="C152" s="154" t="s">
        <v>242</v>
      </c>
      <c r="D152" s="156">
        <v>0</v>
      </c>
      <c r="E152" s="157">
        <f t="shared" si="13"/>
        <v>18600</v>
      </c>
      <c r="F152" s="157">
        <f t="shared" si="14"/>
        <v>0</v>
      </c>
      <c r="G152" s="103"/>
      <c r="H152" s="129">
        <v>300</v>
      </c>
      <c r="I152" s="130">
        <v>62</v>
      </c>
      <c r="J152" s="131">
        <v>1</v>
      </c>
      <c r="K152" s="132">
        <f t="shared" si="15"/>
        <v>0</v>
      </c>
      <c r="L152" s="30"/>
      <c r="M152" s="30"/>
    </row>
    <row r="153" spans="1:13" ht="25.5" hidden="1">
      <c r="A153" s="98"/>
      <c r="B153" s="155" t="s">
        <v>243</v>
      </c>
      <c r="C153" s="154" t="s">
        <v>244</v>
      </c>
      <c r="D153" s="156">
        <v>0</v>
      </c>
      <c r="E153" s="157">
        <f>H153*I153*J153</f>
        <v>17360</v>
      </c>
      <c r="F153" s="157">
        <f t="shared" si="14"/>
        <v>0</v>
      </c>
      <c r="G153" s="103"/>
      <c r="H153" s="133">
        <v>140</v>
      </c>
      <c r="I153" s="134">
        <v>62</v>
      </c>
      <c r="J153" s="135">
        <v>2</v>
      </c>
      <c r="K153" s="136">
        <f t="shared" si="15"/>
        <v>0</v>
      </c>
      <c r="L153" s="30"/>
      <c r="M153" s="30"/>
    </row>
    <row r="154" spans="1:13" s="196" customFormat="1" ht="12.75">
      <c r="A154" s="158"/>
      <c r="B154" s="189"/>
      <c r="C154" s="190"/>
      <c r="D154" s="266" t="s">
        <v>490</v>
      </c>
      <c r="E154" s="267"/>
      <c r="F154" s="191">
        <f>SUM(F137:F153)</f>
        <v>303118</v>
      </c>
      <c r="G154" s="192"/>
      <c r="H154" s="193"/>
      <c r="I154" s="193"/>
      <c r="J154" s="194"/>
      <c r="K154" s="195"/>
      <c r="L154" s="43"/>
      <c r="M154" s="43"/>
    </row>
    <row r="155" spans="1:13" s="169" customFormat="1" ht="8.1" customHeight="1">
      <c r="A155" s="98"/>
      <c r="B155" s="174"/>
      <c r="C155" s="175"/>
      <c r="D155" s="176"/>
      <c r="E155" s="177"/>
      <c r="F155" s="166"/>
      <c r="G155" s="103"/>
      <c r="H155" s="76"/>
      <c r="I155" s="76"/>
      <c r="J155" s="167"/>
      <c r="K155" s="168"/>
      <c r="L155" s="50"/>
      <c r="M155" s="50"/>
    </row>
    <row r="156" spans="1:13" s="169" customFormat="1" ht="15">
      <c r="A156" s="98"/>
      <c r="B156" s="252" t="s">
        <v>498</v>
      </c>
      <c r="C156" s="253"/>
      <c r="D156" s="170" t="s">
        <v>213</v>
      </c>
      <c r="E156" s="170" t="s">
        <v>2</v>
      </c>
      <c r="F156" s="171" t="s">
        <v>214</v>
      </c>
      <c r="G156" s="103"/>
      <c r="H156" s="76"/>
      <c r="I156" s="76"/>
      <c r="J156" s="167"/>
      <c r="K156" s="168"/>
      <c r="L156" s="50"/>
      <c r="M156" s="50"/>
    </row>
    <row r="157" spans="1:13" ht="65.25" customHeight="1">
      <c r="A157" s="98"/>
      <c r="B157" s="155" t="s">
        <v>247</v>
      </c>
      <c r="C157" s="154" t="s">
        <v>248</v>
      </c>
      <c r="D157" s="172">
        <v>1</v>
      </c>
      <c r="E157" s="157">
        <f t="shared" ref="E157:E166" si="16">H157*I157*J157</f>
        <v>79236</v>
      </c>
      <c r="F157" s="157">
        <f t="shared" ref="F157:F169" si="17">E157*D157</f>
        <v>79236</v>
      </c>
      <c r="G157" s="103"/>
      <c r="H157" s="129">
        <v>639</v>
      </c>
      <c r="I157" s="130">
        <v>62</v>
      </c>
      <c r="J157" s="131">
        <v>2</v>
      </c>
      <c r="K157" s="132">
        <f t="shared" ref="K157:K169" si="18">H157*D157</f>
        <v>639</v>
      </c>
      <c r="L157" s="30"/>
      <c r="M157" s="30"/>
    </row>
    <row r="158" spans="1:13" ht="51" hidden="1">
      <c r="A158" s="98"/>
      <c r="B158" s="155" t="s">
        <v>270</v>
      </c>
      <c r="C158" s="154" t="s">
        <v>271</v>
      </c>
      <c r="D158" s="172">
        <v>0</v>
      </c>
      <c r="E158" s="157">
        <f t="shared" si="16"/>
        <v>79236</v>
      </c>
      <c r="F158" s="157">
        <f t="shared" si="17"/>
        <v>0</v>
      </c>
      <c r="G158" s="103"/>
      <c r="H158" s="129">
        <v>639</v>
      </c>
      <c r="I158" s="130">
        <v>62</v>
      </c>
      <c r="J158" s="131">
        <v>2</v>
      </c>
      <c r="K158" s="132">
        <f t="shared" si="18"/>
        <v>0</v>
      </c>
      <c r="L158" s="30"/>
      <c r="M158" s="30"/>
    </row>
    <row r="159" spans="1:13" ht="51">
      <c r="A159" s="98"/>
      <c r="B159" s="155" t="s">
        <v>249</v>
      </c>
      <c r="C159" s="154" t="s">
        <v>250</v>
      </c>
      <c r="D159" s="172">
        <v>1</v>
      </c>
      <c r="E159" s="157">
        <f t="shared" si="16"/>
        <v>7316</v>
      </c>
      <c r="F159" s="157">
        <f t="shared" si="17"/>
        <v>7316</v>
      </c>
      <c r="G159" s="103"/>
      <c r="H159" s="129">
        <v>118</v>
      </c>
      <c r="I159" s="130">
        <v>62</v>
      </c>
      <c r="J159" s="131">
        <v>1</v>
      </c>
      <c r="K159" s="132">
        <f t="shared" si="18"/>
        <v>118</v>
      </c>
      <c r="L159" s="30"/>
      <c r="M159" s="30"/>
    </row>
    <row r="160" spans="1:13" ht="15">
      <c r="A160" s="98"/>
      <c r="B160" s="155" t="s">
        <v>495</v>
      </c>
      <c r="C160" s="154" t="s">
        <v>496</v>
      </c>
      <c r="D160" s="172">
        <v>1</v>
      </c>
      <c r="E160" s="157">
        <f t="shared" si="16"/>
        <v>9672</v>
      </c>
      <c r="F160" s="157">
        <f t="shared" si="17"/>
        <v>9672</v>
      </c>
      <c r="G160" s="103"/>
      <c r="H160" s="129">
        <v>156</v>
      </c>
      <c r="I160" s="130">
        <v>62</v>
      </c>
      <c r="J160" s="131">
        <v>1</v>
      </c>
      <c r="K160" s="132">
        <f t="shared" si="18"/>
        <v>156</v>
      </c>
      <c r="L160" s="30"/>
      <c r="M160" s="30"/>
    </row>
    <row r="161" spans="1:13" ht="15" hidden="1">
      <c r="A161" s="98"/>
      <c r="B161" s="155" t="s">
        <v>253</v>
      </c>
      <c r="C161" s="154" t="s">
        <v>254</v>
      </c>
      <c r="D161" s="172">
        <v>0</v>
      </c>
      <c r="E161" s="157">
        <f t="shared" si="16"/>
        <v>7440</v>
      </c>
      <c r="F161" s="157">
        <f t="shared" si="17"/>
        <v>0</v>
      </c>
      <c r="G161" s="103"/>
      <c r="H161" s="129">
        <v>120</v>
      </c>
      <c r="I161" s="130">
        <v>62</v>
      </c>
      <c r="J161" s="131">
        <v>1</v>
      </c>
      <c r="K161" s="132">
        <f t="shared" si="18"/>
        <v>0</v>
      </c>
      <c r="L161" s="30"/>
      <c r="M161" s="30"/>
    </row>
    <row r="162" spans="1:13" ht="25.5" hidden="1">
      <c r="A162" s="98"/>
      <c r="B162" s="155" t="s">
        <v>255</v>
      </c>
      <c r="C162" s="154" t="s">
        <v>256</v>
      </c>
      <c r="D162" s="172">
        <v>0</v>
      </c>
      <c r="E162" s="157">
        <f t="shared" si="16"/>
        <v>19840</v>
      </c>
      <c r="F162" s="157">
        <f t="shared" si="17"/>
        <v>0</v>
      </c>
      <c r="G162" s="103"/>
      <c r="H162" s="129">
        <v>320</v>
      </c>
      <c r="I162" s="130">
        <v>62</v>
      </c>
      <c r="J162" s="131">
        <v>1</v>
      </c>
      <c r="K162" s="132">
        <f t="shared" si="18"/>
        <v>0</v>
      </c>
      <c r="L162" s="30"/>
      <c r="M162" s="30"/>
    </row>
    <row r="163" spans="1:13" ht="15" hidden="1">
      <c r="A163" s="98"/>
      <c r="B163" s="155" t="s">
        <v>257</v>
      </c>
      <c r="C163" s="154" t="s">
        <v>258</v>
      </c>
      <c r="D163" s="172">
        <v>0</v>
      </c>
      <c r="E163" s="157">
        <f t="shared" si="16"/>
        <v>11532</v>
      </c>
      <c r="F163" s="157">
        <f t="shared" si="17"/>
        <v>0</v>
      </c>
      <c r="G163" s="103"/>
      <c r="H163" s="129">
        <v>186</v>
      </c>
      <c r="I163" s="130">
        <v>62</v>
      </c>
      <c r="J163" s="131">
        <v>1</v>
      </c>
      <c r="K163" s="132">
        <f t="shared" si="18"/>
        <v>0</v>
      </c>
      <c r="L163" s="30"/>
      <c r="M163" s="30"/>
    </row>
    <row r="164" spans="1:13" ht="15" customHeight="1">
      <c r="A164" s="98"/>
      <c r="B164" s="155" t="s">
        <v>259</v>
      </c>
      <c r="C164" s="154" t="s">
        <v>260</v>
      </c>
      <c r="D164" s="172">
        <v>1</v>
      </c>
      <c r="E164" s="157">
        <f t="shared" si="16"/>
        <v>12028</v>
      </c>
      <c r="F164" s="157">
        <f t="shared" si="17"/>
        <v>12028</v>
      </c>
      <c r="G164" s="103"/>
      <c r="H164" s="129">
        <v>194</v>
      </c>
      <c r="I164" s="130">
        <v>62</v>
      </c>
      <c r="J164" s="131">
        <v>1</v>
      </c>
      <c r="K164" s="132">
        <f t="shared" si="18"/>
        <v>194</v>
      </c>
      <c r="L164" s="30"/>
      <c r="M164" s="30"/>
    </row>
    <row r="165" spans="1:13" ht="15" hidden="1" customHeight="1">
      <c r="A165" s="98"/>
      <c r="B165" s="155" t="s">
        <v>261</v>
      </c>
      <c r="C165" s="154" t="s">
        <v>262</v>
      </c>
      <c r="D165" s="172">
        <v>0</v>
      </c>
      <c r="E165" s="157">
        <f t="shared" si="16"/>
        <v>18600</v>
      </c>
      <c r="F165" s="157">
        <f t="shared" si="17"/>
        <v>0</v>
      </c>
      <c r="G165" s="103"/>
      <c r="H165" s="129">
        <v>300</v>
      </c>
      <c r="I165" s="130">
        <v>62</v>
      </c>
      <c r="J165" s="131">
        <v>1</v>
      </c>
      <c r="K165" s="132">
        <f t="shared" si="18"/>
        <v>0</v>
      </c>
      <c r="L165" s="30"/>
      <c r="M165" s="30"/>
    </row>
    <row r="166" spans="1:13" ht="18" customHeight="1">
      <c r="A166" s="98"/>
      <c r="B166" s="155" t="s">
        <v>241</v>
      </c>
      <c r="C166" s="154" t="s">
        <v>242</v>
      </c>
      <c r="D166" s="172">
        <v>1</v>
      </c>
      <c r="E166" s="157">
        <f t="shared" si="16"/>
        <v>18600</v>
      </c>
      <c r="F166" s="157">
        <f t="shared" si="17"/>
        <v>18600</v>
      </c>
      <c r="G166" s="103"/>
      <c r="H166" s="129">
        <v>300</v>
      </c>
      <c r="I166" s="130">
        <v>62</v>
      </c>
      <c r="J166" s="131">
        <v>1</v>
      </c>
      <c r="K166" s="132">
        <f t="shared" si="18"/>
        <v>300</v>
      </c>
      <c r="L166" s="30"/>
      <c r="M166" s="30"/>
    </row>
    <row r="167" spans="1:13" ht="25.5">
      <c r="A167" s="98"/>
      <c r="B167" s="155" t="s">
        <v>243</v>
      </c>
      <c r="C167" s="154" t="s">
        <v>244</v>
      </c>
      <c r="D167" s="172">
        <v>1</v>
      </c>
      <c r="E167" s="157">
        <f>H167*I167*J167</f>
        <v>17360</v>
      </c>
      <c r="F167" s="157">
        <f t="shared" si="17"/>
        <v>17360</v>
      </c>
      <c r="G167" s="103"/>
      <c r="H167" s="133">
        <v>140</v>
      </c>
      <c r="I167" s="134">
        <v>62</v>
      </c>
      <c r="J167" s="135">
        <v>2</v>
      </c>
      <c r="K167" s="136">
        <f t="shared" si="18"/>
        <v>140</v>
      </c>
      <c r="L167" s="30"/>
      <c r="M167" s="30"/>
    </row>
    <row r="168" spans="1:13" ht="15" hidden="1" customHeight="1">
      <c r="A168" s="98"/>
      <c r="B168" s="155" t="s">
        <v>263</v>
      </c>
      <c r="C168" s="154" t="s">
        <v>264</v>
      </c>
      <c r="D168" s="172">
        <v>0</v>
      </c>
      <c r="E168" s="157">
        <f t="shared" ref="E168:E169" si="19">H168*I168*J168</f>
        <v>35712</v>
      </c>
      <c r="F168" s="157">
        <f t="shared" si="17"/>
        <v>0</v>
      </c>
      <c r="G168" s="103"/>
      <c r="H168" s="129">
        <v>384</v>
      </c>
      <c r="I168" s="130">
        <v>62</v>
      </c>
      <c r="J168" s="131">
        <v>1.5</v>
      </c>
      <c r="K168" s="132">
        <f t="shared" si="18"/>
        <v>0</v>
      </c>
      <c r="L168" s="30"/>
      <c r="M168" s="30"/>
    </row>
    <row r="169" spans="1:13" ht="15" customHeight="1">
      <c r="A169" s="98"/>
      <c r="B169" s="155" t="s">
        <v>267</v>
      </c>
      <c r="C169" s="154" t="s">
        <v>268</v>
      </c>
      <c r="D169" s="172">
        <v>1</v>
      </c>
      <c r="E169" s="157">
        <f t="shared" si="19"/>
        <v>8246</v>
      </c>
      <c r="F169" s="157">
        <f t="shared" si="17"/>
        <v>8246</v>
      </c>
      <c r="G169" s="103"/>
      <c r="H169" s="129">
        <v>133</v>
      </c>
      <c r="I169" s="130">
        <v>62</v>
      </c>
      <c r="J169" s="131">
        <v>1</v>
      </c>
      <c r="K169" s="132">
        <f t="shared" si="18"/>
        <v>133</v>
      </c>
      <c r="L169" s="30"/>
      <c r="M169" s="30"/>
    </row>
    <row r="170" spans="1:13" s="196" customFormat="1" ht="15" customHeight="1">
      <c r="A170" s="158"/>
      <c r="B170" s="189"/>
      <c r="C170" s="190"/>
      <c r="D170" s="266" t="s">
        <v>490</v>
      </c>
      <c r="E170" s="267"/>
      <c r="F170" s="191">
        <f>SUM(F157:F169)</f>
        <v>152458</v>
      </c>
      <c r="G170" s="192"/>
      <c r="H170" s="197"/>
      <c r="I170" s="198"/>
      <c r="J170" s="199"/>
      <c r="K170" s="200"/>
      <c r="L170" s="43"/>
      <c r="M170" s="43"/>
    </row>
    <row r="171" spans="1:13" s="169" customFormat="1" ht="8.1" customHeight="1">
      <c r="A171" s="98"/>
      <c r="B171" s="174"/>
      <c r="C171" s="175"/>
      <c r="D171" s="176"/>
      <c r="E171" s="177"/>
      <c r="F171" s="166"/>
      <c r="G171" s="103"/>
      <c r="H171" s="178"/>
      <c r="I171" s="179"/>
      <c r="J171" s="180"/>
      <c r="K171" s="181"/>
      <c r="L171" s="50"/>
      <c r="M171" s="50"/>
    </row>
    <row r="172" spans="1:13" ht="15">
      <c r="A172" s="94"/>
      <c r="B172" s="252" t="s">
        <v>497</v>
      </c>
      <c r="C172" s="253"/>
      <c r="D172" s="170" t="s">
        <v>213</v>
      </c>
      <c r="E172" s="170" t="s">
        <v>2</v>
      </c>
      <c r="F172" s="171" t="s">
        <v>214</v>
      </c>
      <c r="G172" s="97"/>
      <c r="H172" s="127" t="s">
        <v>385</v>
      </c>
      <c r="I172" s="127" t="s">
        <v>386</v>
      </c>
      <c r="J172" s="127" t="s">
        <v>387</v>
      </c>
      <c r="K172" s="127" t="s">
        <v>388</v>
      </c>
      <c r="L172" s="30"/>
      <c r="M172" s="30"/>
    </row>
    <row r="173" spans="1:13" ht="51">
      <c r="A173" s="98"/>
      <c r="B173" s="155" t="s">
        <v>270</v>
      </c>
      <c r="C173" s="154" t="s">
        <v>271</v>
      </c>
      <c r="D173" s="172">
        <v>1</v>
      </c>
      <c r="E173" s="157">
        <f>H173*I173*J173</f>
        <v>79236</v>
      </c>
      <c r="F173" s="157">
        <f>E173*D173</f>
        <v>79236</v>
      </c>
      <c r="G173" s="103"/>
      <c r="H173" s="129">
        <v>639</v>
      </c>
      <c r="I173" s="130">
        <v>62</v>
      </c>
      <c r="J173" s="131">
        <v>2</v>
      </c>
      <c r="K173" s="132">
        <f>H173*D173</f>
        <v>639</v>
      </c>
      <c r="L173" s="30"/>
      <c r="M173" s="30"/>
    </row>
    <row r="174" spans="1:13" ht="51">
      <c r="A174" s="98"/>
      <c r="B174" s="155" t="s">
        <v>249</v>
      </c>
      <c r="C174" s="154" t="s">
        <v>250</v>
      </c>
      <c r="D174" s="172">
        <v>1</v>
      </c>
      <c r="E174" s="157">
        <f>H174*I174*J174</f>
        <v>7316</v>
      </c>
      <c r="F174" s="157">
        <f>E174*D174</f>
        <v>7316</v>
      </c>
      <c r="G174" s="103"/>
      <c r="H174" s="129">
        <v>118</v>
      </c>
      <c r="I174" s="130">
        <v>62</v>
      </c>
      <c r="J174" s="131">
        <v>1</v>
      </c>
      <c r="K174" s="132">
        <f>H174*D174</f>
        <v>118</v>
      </c>
      <c r="L174" s="30"/>
      <c r="M174" s="30"/>
    </row>
    <row r="175" spans="1:13" ht="15">
      <c r="A175" s="98"/>
      <c r="B175" s="155" t="s">
        <v>275</v>
      </c>
      <c r="C175" s="154" t="s">
        <v>276</v>
      </c>
      <c r="D175" s="172">
        <v>1</v>
      </c>
      <c r="E175" s="157">
        <f>H175*I175*J175</f>
        <v>9672</v>
      </c>
      <c r="F175" s="157">
        <f>E175*D175</f>
        <v>9672</v>
      </c>
      <c r="G175" s="103"/>
      <c r="H175" s="129">
        <v>156</v>
      </c>
      <c r="I175" s="130">
        <v>62</v>
      </c>
      <c r="J175" s="131">
        <v>1</v>
      </c>
      <c r="K175" s="132">
        <f>H175*D175</f>
        <v>156</v>
      </c>
      <c r="L175" s="30"/>
      <c r="M175" s="30"/>
    </row>
    <row r="176" spans="1:13" ht="15" hidden="1">
      <c r="A176" s="98"/>
      <c r="B176" s="155" t="s">
        <v>259</v>
      </c>
      <c r="C176" s="154" t="s">
        <v>260</v>
      </c>
      <c r="D176" s="172">
        <v>0</v>
      </c>
      <c r="E176" s="157">
        <f t="shared" ref="E176:E180" si="20">H176*I176*J176</f>
        <v>12028</v>
      </c>
      <c r="F176" s="157">
        <f t="shared" ref="F176:F181" si="21">E176*D176</f>
        <v>0</v>
      </c>
      <c r="G176" s="103"/>
      <c r="H176" s="129">
        <v>194</v>
      </c>
      <c r="I176" s="130">
        <v>62</v>
      </c>
      <c r="J176" s="131">
        <v>1</v>
      </c>
      <c r="K176" s="132">
        <f t="shared" ref="K176:K181" si="22">H176*D176</f>
        <v>0</v>
      </c>
      <c r="L176" s="30"/>
      <c r="M176" s="30"/>
    </row>
    <row r="177" spans="1:13" ht="15" hidden="1">
      <c r="A177" s="98"/>
      <c r="B177" s="155" t="s">
        <v>261</v>
      </c>
      <c r="C177" s="154" t="s">
        <v>262</v>
      </c>
      <c r="D177" s="172">
        <v>0</v>
      </c>
      <c r="E177" s="157">
        <f t="shared" si="20"/>
        <v>18600</v>
      </c>
      <c r="F177" s="157">
        <f t="shared" si="21"/>
        <v>0</v>
      </c>
      <c r="G177" s="103"/>
      <c r="H177" s="129">
        <v>300</v>
      </c>
      <c r="I177" s="130">
        <v>62</v>
      </c>
      <c r="J177" s="131">
        <v>1</v>
      </c>
      <c r="K177" s="132">
        <f t="shared" si="22"/>
        <v>0</v>
      </c>
      <c r="L177" s="30"/>
      <c r="M177" s="30"/>
    </row>
    <row r="178" spans="1:13" ht="25.5">
      <c r="A178" s="98"/>
      <c r="B178" s="155" t="s">
        <v>267</v>
      </c>
      <c r="C178" s="154" t="s">
        <v>268</v>
      </c>
      <c r="D178" s="172">
        <v>1</v>
      </c>
      <c r="E178" s="157">
        <f t="shared" si="20"/>
        <v>8246</v>
      </c>
      <c r="F178" s="157">
        <f t="shared" si="21"/>
        <v>8246</v>
      </c>
      <c r="G178" s="103"/>
      <c r="H178" s="129">
        <v>133</v>
      </c>
      <c r="I178" s="130">
        <v>62</v>
      </c>
      <c r="J178" s="131">
        <v>1</v>
      </c>
      <c r="K178" s="132">
        <f t="shared" si="22"/>
        <v>133</v>
      </c>
      <c r="L178" s="30"/>
      <c r="M178" s="30"/>
    </row>
    <row r="179" spans="1:13" ht="15">
      <c r="A179" s="98"/>
      <c r="B179" s="155" t="s">
        <v>272</v>
      </c>
      <c r="C179" s="154" t="s">
        <v>499</v>
      </c>
      <c r="D179" s="172">
        <v>1</v>
      </c>
      <c r="E179" s="157">
        <f t="shared" si="20"/>
        <v>12400</v>
      </c>
      <c r="F179" s="157">
        <f t="shared" si="21"/>
        <v>12400</v>
      </c>
      <c r="G179" s="103"/>
      <c r="H179" s="129">
        <v>200</v>
      </c>
      <c r="I179" s="130">
        <v>62</v>
      </c>
      <c r="J179" s="131">
        <v>1</v>
      </c>
      <c r="K179" s="132">
        <f t="shared" si="22"/>
        <v>200</v>
      </c>
      <c r="L179" s="30"/>
      <c r="M179" s="30"/>
    </row>
    <row r="180" spans="1:13" ht="18" hidden="1" customHeight="1">
      <c r="A180" s="98"/>
      <c r="B180" s="155" t="s">
        <v>241</v>
      </c>
      <c r="C180" s="154" t="s">
        <v>242</v>
      </c>
      <c r="D180" s="156">
        <v>0</v>
      </c>
      <c r="E180" s="157">
        <f t="shared" si="20"/>
        <v>18600</v>
      </c>
      <c r="F180" s="157">
        <f t="shared" si="21"/>
        <v>0</v>
      </c>
      <c r="G180" s="103"/>
      <c r="H180" s="129">
        <v>300</v>
      </c>
      <c r="I180" s="130">
        <v>62</v>
      </c>
      <c r="J180" s="131">
        <v>1</v>
      </c>
      <c r="K180" s="132">
        <f t="shared" si="22"/>
        <v>0</v>
      </c>
      <c r="L180" s="30"/>
      <c r="M180" s="30"/>
    </row>
    <row r="181" spans="1:13" ht="25.5" hidden="1">
      <c r="A181" s="98"/>
      <c r="B181" s="155" t="s">
        <v>243</v>
      </c>
      <c r="C181" s="154" t="s">
        <v>244</v>
      </c>
      <c r="D181" s="156">
        <v>0</v>
      </c>
      <c r="E181" s="157">
        <f>H181*I181*J181</f>
        <v>17360</v>
      </c>
      <c r="F181" s="157">
        <f t="shared" si="21"/>
        <v>0</v>
      </c>
      <c r="G181" s="103"/>
      <c r="H181" s="133">
        <v>140</v>
      </c>
      <c r="I181" s="134">
        <v>62</v>
      </c>
      <c r="J181" s="135">
        <v>2</v>
      </c>
      <c r="K181" s="136">
        <f t="shared" si="22"/>
        <v>0</v>
      </c>
      <c r="L181" s="30"/>
      <c r="M181" s="30"/>
    </row>
    <row r="182" spans="1:13" s="196" customFormat="1" ht="12.75">
      <c r="A182" s="158"/>
      <c r="B182" s="189"/>
      <c r="C182" s="190"/>
      <c r="D182" s="266" t="s">
        <v>490</v>
      </c>
      <c r="E182" s="267"/>
      <c r="F182" s="191">
        <f>SUM(F173:F181)</f>
        <v>116870</v>
      </c>
      <c r="G182" s="192"/>
      <c r="H182" s="193"/>
      <c r="I182" s="193"/>
      <c r="J182" s="194"/>
      <c r="K182" s="195"/>
      <c r="L182" s="43"/>
      <c r="M182" s="43"/>
    </row>
    <row r="183" spans="1:13" ht="8.1" customHeight="1">
      <c r="H183" s="126"/>
      <c r="I183" s="126"/>
      <c r="J183" s="126"/>
      <c r="K183" s="126"/>
      <c r="L183" s="30"/>
      <c r="M183" s="30"/>
    </row>
    <row r="184" spans="1:13" ht="15">
      <c r="A184" s="94"/>
      <c r="B184" s="252" t="s">
        <v>500</v>
      </c>
      <c r="C184" s="253"/>
      <c r="D184" s="95" t="s">
        <v>213</v>
      </c>
      <c r="E184" s="170" t="s">
        <v>2</v>
      </c>
      <c r="F184" s="171" t="s">
        <v>214</v>
      </c>
      <c r="G184" s="97"/>
      <c r="H184" s="127" t="s">
        <v>385</v>
      </c>
      <c r="I184" s="127" t="s">
        <v>386</v>
      </c>
      <c r="J184" s="127" t="s">
        <v>387</v>
      </c>
      <c r="K184" s="127" t="s">
        <v>388</v>
      </c>
      <c r="L184" s="30"/>
      <c r="M184" s="30"/>
    </row>
    <row r="185" spans="1:13" ht="63.75">
      <c r="A185" s="98"/>
      <c r="B185" s="155" t="s">
        <v>278</v>
      </c>
      <c r="C185" s="154" t="s">
        <v>279</v>
      </c>
      <c r="D185" s="172">
        <v>6</v>
      </c>
      <c r="E185" s="157">
        <f>H185*I185*J185</f>
        <v>19840</v>
      </c>
      <c r="F185" s="157">
        <f>E185*D185</f>
        <v>119040</v>
      </c>
      <c r="G185" s="103"/>
      <c r="H185" s="129">
        <v>320</v>
      </c>
      <c r="I185" s="130">
        <v>62</v>
      </c>
      <c r="J185" s="131">
        <v>1</v>
      </c>
      <c r="K185" s="132">
        <f>H185*D185</f>
        <v>1920</v>
      </c>
      <c r="L185" s="30"/>
      <c r="M185" s="30"/>
    </row>
    <row r="186" spans="1:13" ht="63.75" hidden="1">
      <c r="A186" s="98"/>
      <c r="B186" s="155" t="s">
        <v>280</v>
      </c>
      <c r="C186" s="154" t="s">
        <v>281</v>
      </c>
      <c r="D186" s="172">
        <v>0</v>
      </c>
      <c r="E186" s="157">
        <f>H186*I186*J186</f>
        <v>43400</v>
      </c>
      <c r="F186" s="157">
        <f>E186*D186</f>
        <v>0</v>
      </c>
      <c r="G186" s="103"/>
      <c r="H186" s="129">
        <v>700</v>
      </c>
      <c r="I186" s="130">
        <v>62</v>
      </c>
      <c r="J186" s="131">
        <v>1</v>
      </c>
      <c r="K186" s="132">
        <f>H186*D186</f>
        <v>0</v>
      </c>
      <c r="L186" s="30"/>
      <c r="M186" s="30"/>
    </row>
    <row r="187" spans="1:13" ht="63.75">
      <c r="A187" s="98"/>
      <c r="B187" s="155" t="s">
        <v>282</v>
      </c>
      <c r="C187" s="154" t="s">
        <v>283</v>
      </c>
      <c r="D187" s="172">
        <v>1</v>
      </c>
      <c r="E187" s="157">
        <f>H187*I187*J187</f>
        <v>95170</v>
      </c>
      <c r="F187" s="157">
        <f>E187*D187</f>
        <v>95170</v>
      </c>
      <c r="G187" s="103"/>
      <c r="H187" s="129">
        <v>1535</v>
      </c>
      <c r="I187" s="130">
        <v>62</v>
      </c>
      <c r="J187" s="131">
        <v>1</v>
      </c>
      <c r="K187" s="132">
        <f>H187*D187</f>
        <v>1535</v>
      </c>
      <c r="L187" s="30"/>
      <c r="M187" s="30"/>
    </row>
    <row r="188" spans="1:13" ht="25.5">
      <c r="A188" s="98"/>
      <c r="B188" s="155" t="s">
        <v>284</v>
      </c>
      <c r="C188" s="154" t="s">
        <v>285</v>
      </c>
      <c r="D188" s="172">
        <v>1</v>
      </c>
      <c r="E188" s="157">
        <f t="shared" ref="E188:E195" si="23">H188*I188*J188</f>
        <v>7440</v>
      </c>
      <c r="F188" s="157">
        <f t="shared" ref="F188:F196" si="24">E188*D188</f>
        <v>7440</v>
      </c>
      <c r="G188" s="103"/>
      <c r="H188" s="129">
        <v>120</v>
      </c>
      <c r="I188" s="130">
        <v>62</v>
      </c>
      <c r="J188" s="131">
        <v>1</v>
      </c>
      <c r="K188" s="132">
        <f t="shared" ref="K188:K196" si="25">H188*D188</f>
        <v>120</v>
      </c>
      <c r="L188" s="30"/>
      <c r="M188" s="30"/>
    </row>
    <row r="189" spans="1:13" ht="38.25" hidden="1">
      <c r="A189" s="98"/>
      <c r="B189" s="155" t="s">
        <v>286</v>
      </c>
      <c r="C189" s="154" t="s">
        <v>287</v>
      </c>
      <c r="D189" s="172">
        <v>0</v>
      </c>
      <c r="E189" s="157">
        <f t="shared" si="23"/>
        <v>11904</v>
      </c>
      <c r="F189" s="157">
        <f t="shared" si="24"/>
        <v>0</v>
      </c>
      <c r="G189" s="103"/>
      <c r="H189" s="129">
        <v>192</v>
      </c>
      <c r="I189" s="130">
        <v>62</v>
      </c>
      <c r="J189" s="131">
        <v>1</v>
      </c>
      <c r="K189" s="132">
        <f t="shared" si="25"/>
        <v>0</v>
      </c>
      <c r="L189" s="30"/>
      <c r="M189" s="30"/>
    </row>
    <row r="190" spans="1:13" ht="25.5">
      <c r="A190" s="98"/>
      <c r="B190" s="155" t="s">
        <v>288</v>
      </c>
      <c r="C190" s="154" t="s">
        <v>289</v>
      </c>
      <c r="D190" s="172">
        <v>2</v>
      </c>
      <c r="E190" s="157">
        <f t="shared" si="23"/>
        <v>34100</v>
      </c>
      <c r="F190" s="157">
        <f t="shared" si="24"/>
        <v>68200</v>
      </c>
      <c r="G190" s="103"/>
      <c r="H190" s="129">
        <v>550</v>
      </c>
      <c r="I190" s="130">
        <v>62</v>
      </c>
      <c r="J190" s="131">
        <v>1</v>
      </c>
      <c r="K190" s="132">
        <f t="shared" si="25"/>
        <v>1100</v>
      </c>
      <c r="L190" s="30"/>
      <c r="M190" s="30"/>
    </row>
    <row r="191" spans="1:13" ht="51">
      <c r="A191" s="98"/>
      <c r="B191" s="155" t="s">
        <v>290</v>
      </c>
      <c r="C191" s="154" t="s">
        <v>291</v>
      </c>
      <c r="D191" s="172">
        <v>1</v>
      </c>
      <c r="E191" s="157">
        <f t="shared" si="23"/>
        <v>22320</v>
      </c>
      <c r="F191" s="157">
        <f t="shared" si="24"/>
        <v>22320</v>
      </c>
      <c r="G191" s="103"/>
      <c r="H191" s="129">
        <v>360</v>
      </c>
      <c r="I191" s="130">
        <v>62</v>
      </c>
      <c r="J191" s="131">
        <v>1</v>
      </c>
      <c r="K191" s="132">
        <f t="shared" si="25"/>
        <v>360</v>
      </c>
      <c r="L191" s="30"/>
      <c r="M191" s="30"/>
    </row>
    <row r="192" spans="1:13" ht="18" customHeight="1">
      <c r="A192" s="98"/>
      <c r="B192" s="155" t="s">
        <v>292</v>
      </c>
      <c r="C192" s="154" t="s">
        <v>293</v>
      </c>
      <c r="D192" s="172">
        <v>1</v>
      </c>
      <c r="E192" s="157">
        <f t="shared" si="23"/>
        <v>31000</v>
      </c>
      <c r="F192" s="157">
        <f t="shared" si="24"/>
        <v>31000</v>
      </c>
      <c r="G192" s="103"/>
      <c r="H192" s="129">
        <v>500</v>
      </c>
      <c r="I192" s="130">
        <v>62</v>
      </c>
      <c r="J192" s="131">
        <v>1</v>
      </c>
      <c r="K192" s="132">
        <f t="shared" si="25"/>
        <v>500</v>
      </c>
      <c r="L192" s="30"/>
      <c r="M192" s="30"/>
    </row>
    <row r="193" spans="1:13" ht="25.5">
      <c r="A193" s="98"/>
      <c r="B193" s="155" t="s">
        <v>294</v>
      </c>
      <c r="C193" s="154" t="s">
        <v>295</v>
      </c>
      <c r="D193" s="172">
        <v>1</v>
      </c>
      <c r="E193" s="157">
        <f t="shared" si="23"/>
        <v>25200</v>
      </c>
      <c r="F193" s="157">
        <f t="shared" si="24"/>
        <v>25200</v>
      </c>
      <c r="G193" s="103"/>
      <c r="H193" s="133">
        <v>400</v>
      </c>
      <c r="I193" s="130">
        <v>63</v>
      </c>
      <c r="J193" s="131">
        <v>1</v>
      </c>
      <c r="K193" s="136">
        <f t="shared" si="25"/>
        <v>400</v>
      </c>
      <c r="L193" s="30"/>
      <c r="M193" s="30"/>
    </row>
    <row r="194" spans="1:13" ht="25.5">
      <c r="A194" s="98"/>
      <c r="B194" s="155" t="s">
        <v>296</v>
      </c>
      <c r="C194" s="154" t="s">
        <v>297</v>
      </c>
      <c r="D194" s="172">
        <v>4</v>
      </c>
      <c r="E194" s="157">
        <f t="shared" si="23"/>
        <v>12800</v>
      </c>
      <c r="F194" s="157">
        <f t="shared" si="24"/>
        <v>51200</v>
      </c>
      <c r="G194" s="103"/>
      <c r="H194" s="133">
        <v>200</v>
      </c>
      <c r="I194" s="130">
        <v>64</v>
      </c>
      <c r="J194" s="131">
        <v>1</v>
      </c>
      <c r="K194" s="136">
        <f t="shared" si="25"/>
        <v>800</v>
      </c>
      <c r="L194" s="30"/>
      <c r="M194" s="30"/>
    </row>
    <row r="195" spans="1:13" ht="15" hidden="1">
      <c r="A195" s="98"/>
      <c r="B195" s="155" t="s">
        <v>298</v>
      </c>
      <c r="C195" s="154" t="s">
        <v>299</v>
      </c>
      <c r="D195" s="172">
        <v>0</v>
      </c>
      <c r="E195" s="157">
        <f t="shared" si="23"/>
        <v>39000</v>
      </c>
      <c r="F195" s="157">
        <f t="shared" si="24"/>
        <v>0</v>
      </c>
      <c r="G195" s="103"/>
      <c r="H195" s="133">
        <v>600</v>
      </c>
      <c r="I195" s="130">
        <v>65</v>
      </c>
      <c r="J195" s="131">
        <v>1</v>
      </c>
      <c r="K195" s="136">
        <f t="shared" si="25"/>
        <v>0</v>
      </c>
      <c r="L195" s="30"/>
      <c r="M195" s="30"/>
    </row>
    <row r="196" spans="1:13" ht="25.5">
      <c r="A196" s="98"/>
      <c r="B196" s="155" t="s">
        <v>300</v>
      </c>
      <c r="C196" s="154" t="s">
        <v>301</v>
      </c>
      <c r="D196" s="172">
        <v>1</v>
      </c>
      <c r="E196" s="157">
        <f>H196*I196*J196</f>
        <v>24800</v>
      </c>
      <c r="F196" s="157">
        <f t="shared" si="24"/>
        <v>24800</v>
      </c>
      <c r="G196" s="103"/>
      <c r="H196" s="133">
        <v>400</v>
      </c>
      <c r="I196" s="134">
        <v>62</v>
      </c>
      <c r="J196" s="135">
        <v>1</v>
      </c>
      <c r="K196" s="136">
        <f t="shared" si="25"/>
        <v>400</v>
      </c>
      <c r="L196" s="30"/>
      <c r="M196" s="30"/>
    </row>
    <row r="197" spans="1:13" s="196" customFormat="1" ht="12.75">
      <c r="A197" s="158"/>
      <c r="B197" s="189"/>
      <c r="C197" s="190"/>
      <c r="D197" s="266" t="s">
        <v>490</v>
      </c>
      <c r="E197" s="267"/>
      <c r="F197" s="191">
        <f>SUM(F185:F196)</f>
        <v>444370</v>
      </c>
      <c r="G197" s="192"/>
      <c r="H197" s="193"/>
      <c r="I197" s="193"/>
      <c r="J197" s="194"/>
      <c r="K197" s="195"/>
      <c r="L197" s="43"/>
      <c r="M197" s="43"/>
    </row>
    <row r="198" spans="1:13" s="169" customFormat="1" ht="8.1" customHeight="1">
      <c r="A198" s="50"/>
      <c r="B198" s="50"/>
      <c r="C198" s="50"/>
      <c r="D198" s="50"/>
      <c r="E198" s="50"/>
      <c r="F198" s="50"/>
      <c r="G198" s="50"/>
      <c r="H198" s="50"/>
      <c r="I198" s="50"/>
      <c r="J198" s="50"/>
      <c r="K198" s="50"/>
      <c r="L198" s="50"/>
      <c r="M198" s="50"/>
    </row>
    <row r="199" spans="1:13" ht="15">
      <c r="A199" s="94"/>
      <c r="B199" s="252" t="s">
        <v>501</v>
      </c>
      <c r="C199" s="253"/>
      <c r="D199" s="170" t="s">
        <v>213</v>
      </c>
      <c r="E199" s="170" t="s">
        <v>2</v>
      </c>
      <c r="F199" s="171" t="s">
        <v>214</v>
      </c>
      <c r="G199" s="97"/>
      <c r="H199" s="127" t="s">
        <v>385</v>
      </c>
      <c r="I199" s="127" t="s">
        <v>386</v>
      </c>
      <c r="J199" s="127" t="s">
        <v>387</v>
      </c>
      <c r="K199" s="127" t="s">
        <v>388</v>
      </c>
      <c r="L199" s="30"/>
      <c r="M199" s="30"/>
    </row>
    <row r="200" spans="1:13" ht="90.75" customHeight="1">
      <c r="A200" s="98"/>
      <c r="B200" s="155" t="s">
        <v>303</v>
      </c>
      <c r="C200" s="154" t="s">
        <v>502</v>
      </c>
      <c r="D200" s="172">
        <v>6</v>
      </c>
      <c r="E200" s="157">
        <f>H200*I200*J200</f>
        <v>160208</v>
      </c>
      <c r="F200" s="157">
        <f>E200*D200</f>
        <v>961248</v>
      </c>
      <c r="G200" s="103"/>
      <c r="H200" s="129">
        <v>1292</v>
      </c>
      <c r="I200" s="130">
        <v>62</v>
      </c>
      <c r="J200" s="131">
        <v>2</v>
      </c>
      <c r="K200" s="132">
        <f>H200*D200</f>
        <v>7752</v>
      </c>
      <c r="L200" s="30"/>
      <c r="M200" s="30"/>
    </row>
    <row r="201" spans="1:13" ht="25.5" hidden="1">
      <c r="A201" s="98"/>
      <c r="B201" s="155" t="s">
        <v>305</v>
      </c>
      <c r="C201" s="154" t="s">
        <v>306</v>
      </c>
      <c r="D201" s="172">
        <v>0</v>
      </c>
      <c r="E201" s="157">
        <f>H201*I201*J201</f>
        <v>18104</v>
      </c>
      <c r="F201" s="157">
        <f>E201*D201</f>
        <v>0</v>
      </c>
      <c r="G201" s="103"/>
      <c r="H201" s="129">
        <v>146</v>
      </c>
      <c r="I201" s="130">
        <v>62</v>
      </c>
      <c r="J201" s="131">
        <v>2</v>
      </c>
      <c r="K201" s="132">
        <f>H201*D201</f>
        <v>0</v>
      </c>
      <c r="L201" s="30"/>
      <c r="M201" s="30"/>
    </row>
    <row r="202" spans="1:13" ht="25.5">
      <c r="A202" s="98"/>
      <c r="B202" s="155" t="s">
        <v>307</v>
      </c>
      <c r="C202" s="154" t="s">
        <v>308</v>
      </c>
      <c r="D202" s="172">
        <v>6</v>
      </c>
      <c r="E202" s="157">
        <f>H202*I202*J202</f>
        <v>12152</v>
      </c>
      <c r="F202" s="157">
        <f>E202*D202</f>
        <v>72912</v>
      </c>
      <c r="G202" s="103"/>
      <c r="H202" s="129">
        <v>98</v>
      </c>
      <c r="I202" s="130">
        <v>62</v>
      </c>
      <c r="J202" s="131">
        <v>2</v>
      </c>
      <c r="K202" s="132">
        <f>H202*D202</f>
        <v>588</v>
      </c>
      <c r="L202" s="30"/>
      <c r="M202" s="30"/>
    </row>
    <row r="203" spans="1:13" ht="15">
      <c r="A203" s="98"/>
      <c r="B203" s="155" t="s">
        <v>309</v>
      </c>
      <c r="C203" s="154" t="s">
        <v>310</v>
      </c>
      <c r="D203" s="172">
        <v>18</v>
      </c>
      <c r="E203" s="157">
        <f t="shared" ref="E203:E210" si="26">H203*I203*J203</f>
        <v>1798</v>
      </c>
      <c r="F203" s="157">
        <f t="shared" ref="F203:F210" si="27">E203*D203</f>
        <v>32364</v>
      </c>
      <c r="G203" s="103"/>
      <c r="H203" s="129">
        <v>29</v>
      </c>
      <c r="I203" s="130">
        <v>62</v>
      </c>
      <c r="J203" s="131">
        <v>1</v>
      </c>
      <c r="K203" s="132">
        <f t="shared" ref="K203:K210" si="28">H203*D203</f>
        <v>522</v>
      </c>
      <c r="L203" s="30"/>
      <c r="M203" s="30"/>
    </row>
    <row r="204" spans="1:13" ht="63.75" hidden="1">
      <c r="A204" s="98"/>
      <c r="B204" s="155" t="s">
        <v>311</v>
      </c>
      <c r="C204" s="154" t="s">
        <v>312</v>
      </c>
      <c r="D204" s="172">
        <v>0</v>
      </c>
      <c r="E204" s="157">
        <f t="shared" si="26"/>
        <v>22940</v>
      </c>
      <c r="F204" s="157">
        <f t="shared" si="27"/>
        <v>0</v>
      </c>
      <c r="G204" s="103"/>
      <c r="H204" s="129">
        <v>185</v>
      </c>
      <c r="I204" s="130">
        <v>62</v>
      </c>
      <c r="J204" s="131">
        <v>2</v>
      </c>
      <c r="K204" s="132">
        <f t="shared" si="28"/>
        <v>0</v>
      </c>
      <c r="L204" s="30"/>
      <c r="M204" s="30"/>
    </row>
    <row r="205" spans="1:13" ht="25.5">
      <c r="A205" s="98"/>
      <c r="B205" s="155" t="s">
        <v>313</v>
      </c>
      <c r="C205" s="154" t="s">
        <v>314</v>
      </c>
      <c r="D205" s="172">
        <v>6</v>
      </c>
      <c r="E205" s="157">
        <f t="shared" si="26"/>
        <v>33728</v>
      </c>
      <c r="F205" s="157">
        <f t="shared" si="27"/>
        <v>202368</v>
      </c>
      <c r="G205" s="103"/>
      <c r="H205" s="129">
        <v>272</v>
      </c>
      <c r="I205" s="130">
        <v>62</v>
      </c>
      <c r="J205" s="131">
        <v>2</v>
      </c>
      <c r="K205" s="132">
        <f t="shared" si="28"/>
        <v>1632</v>
      </c>
      <c r="L205" s="30"/>
      <c r="M205" s="30"/>
    </row>
    <row r="206" spans="1:13" ht="25.5">
      <c r="A206" s="98"/>
      <c r="B206" s="155" t="s">
        <v>315</v>
      </c>
      <c r="C206" s="154" t="s">
        <v>316</v>
      </c>
      <c r="D206" s="172">
        <v>6</v>
      </c>
      <c r="E206" s="157">
        <f t="shared" si="26"/>
        <v>7936</v>
      </c>
      <c r="F206" s="157">
        <f t="shared" si="27"/>
        <v>47616</v>
      </c>
      <c r="G206" s="103"/>
      <c r="H206" s="129">
        <v>64</v>
      </c>
      <c r="I206" s="130">
        <v>62</v>
      </c>
      <c r="J206" s="131">
        <v>2</v>
      </c>
      <c r="K206" s="132">
        <f t="shared" si="28"/>
        <v>384</v>
      </c>
      <c r="L206" s="30"/>
      <c r="M206" s="30"/>
    </row>
    <row r="207" spans="1:13" ht="38.25">
      <c r="A207" s="98"/>
      <c r="B207" s="155" t="s">
        <v>317</v>
      </c>
      <c r="C207" s="154" t="s">
        <v>318</v>
      </c>
      <c r="D207" s="172">
        <v>6</v>
      </c>
      <c r="E207" s="157">
        <f t="shared" si="26"/>
        <v>9052</v>
      </c>
      <c r="F207" s="157">
        <f t="shared" si="27"/>
        <v>54312</v>
      </c>
      <c r="G207" s="103"/>
      <c r="H207" s="129">
        <v>73</v>
      </c>
      <c r="I207" s="130">
        <v>62</v>
      </c>
      <c r="J207" s="131">
        <v>2</v>
      </c>
      <c r="K207" s="132">
        <f t="shared" si="28"/>
        <v>438</v>
      </c>
      <c r="L207" s="30"/>
      <c r="M207" s="30"/>
    </row>
    <row r="208" spans="1:13" ht="15">
      <c r="A208" s="98"/>
      <c r="B208" s="155" t="s">
        <v>319</v>
      </c>
      <c r="C208" s="154" t="s">
        <v>320</v>
      </c>
      <c r="D208" s="172">
        <v>6</v>
      </c>
      <c r="E208" s="157">
        <f t="shared" si="26"/>
        <v>4030</v>
      </c>
      <c r="F208" s="157">
        <f t="shared" si="27"/>
        <v>24180</v>
      </c>
      <c r="G208" s="103"/>
      <c r="H208" s="129">
        <v>65</v>
      </c>
      <c r="I208" s="130">
        <v>62</v>
      </c>
      <c r="J208" s="131">
        <v>1</v>
      </c>
      <c r="K208" s="132">
        <f t="shared" si="28"/>
        <v>390</v>
      </c>
      <c r="L208" s="30"/>
      <c r="M208" s="30"/>
    </row>
    <row r="209" spans="1:13" ht="15">
      <c r="A209" s="98"/>
      <c r="B209" s="155" t="s">
        <v>321</v>
      </c>
      <c r="C209" s="154" t="s">
        <v>322</v>
      </c>
      <c r="D209" s="172">
        <v>6</v>
      </c>
      <c r="E209" s="157">
        <f t="shared" si="26"/>
        <v>22134</v>
      </c>
      <c r="F209" s="157">
        <f t="shared" si="27"/>
        <v>132804</v>
      </c>
      <c r="G209" s="103"/>
      <c r="H209" s="133">
        <v>238</v>
      </c>
      <c r="I209" s="130">
        <v>62</v>
      </c>
      <c r="J209" s="131">
        <v>1.5</v>
      </c>
      <c r="K209" s="136">
        <f t="shared" si="28"/>
        <v>1428</v>
      </c>
      <c r="L209" s="30"/>
      <c r="M209" s="30"/>
    </row>
    <row r="210" spans="1:13" ht="15">
      <c r="A210" s="98"/>
      <c r="B210" s="155" t="s">
        <v>323</v>
      </c>
      <c r="C210" s="154" t="s">
        <v>324</v>
      </c>
      <c r="D210" s="172">
        <v>12</v>
      </c>
      <c r="E210" s="157">
        <f t="shared" si="26"/>
        <v>2356</v>
      </c>
      <c r="F210" s="157">
        <f t="shared" si="27"/>
        <v>28272</v>
      </c>
      <c r="G210" s="103"/>
      <c r="H210" s="133">
        <v>38</v>
      </c>
      <c r="I210" s="130">
        <v>62</v>
      </c>
      <c r="J210" s="131">
        <v>1</v>
      </c>
      <c r="K210" s="136">
        <f t="shared" si="28"/>
        <v>456</v>
      </c>
      <c r="L210" s="30"/>
      <c r="M210" s="30"/>
    </row>
    <row r="211" spans="1:13" s="196" customFormat="1" ht="12.75">
      <c r="A211" s="158"/>
      <c r="B211" s="189"/>
      <c r="C211" s="190"/>
      <c r="D211" s="266" t="s">
        <v>490</v>
      </c>
      <c r="E211" s="267"/>
      <c r="F211" s="191">
        <f>SUM(F200:F210)</f>
        <v>1556076</v>
      </c>
      <c r="G211" s="192"/>
      <c r="H211" s="193"/>
      <c r="I211" s="193"/>
      <c r="J211" s="194"/>
      <c r="K211" s="195"/>
      <c r="L211" s="43"/>
      <c r="M211" s="43"/>
    </row>
    <row r="212" spans="1:13" ht="8.1" customHeight="1">
      <c r="H212" s="126"/>
      <c r="I212" s="126"/>
      <c r="J212" s="126"/>
      <c r="K212" s="126"/>
      <c r="L212" s="30"/>
      <c r="M212" s="30"/>
    </row>
    <row r="213" spans="1:13" ht="15">
      <c r="A213" s="94"/>
      <c r="B213" s="252" t="s">
        <v>325</v>
      </c>
      <c r="C213" s="253"/>
      <c r="D213" s="170" t="s">
        <v>213</v>
      </c>
      <c r="E213" s="170" t="s">
        <v>2</v>
      </c>
      <c r="F213" s="171" t="s">
        <v>214</v>
      </c>
      <c r="G213" s="97"/>
      <c r="H213" s="127" t="s">
        <v>385</v>
      </c>
      <c r="I213" s="127" t="s">
        <v>386</v>
      </c>
      <c r="J213" s="127" t="s">
        <v>387</v>
      </c>
      <c r="K213" s="127" t="s">
        <v>388</v>
      </c>
      <c r="L213" s="30"/>
      <c r="M213" s="30"/>
    </row>
    <row r="214" spans="1:13" ht="15">
      <c r="A214" s="98"/>
      <c r="B214" s="268" t="s">
        <v>326</v>
      </c>
      <c r="C214" s="270"/>
      <c r="D214" s="172">
        <v>3</v>
      </c>
      <c r="E214" s="157">
        <v>10000</v>
      </c>
      <c r="F214" s="157">
        <f t="shared" ref="F214:F218" si="29">E214*D214</f>
        <v>30000</v>
      </c>
      <c r="G214" s="103"/>
      <c r="H214" s="129">
        <v>64</v>
      </c>
      <c r="I214" s="130">
        <v>62</v>
      </c>
      <c r="J214" s="131">
        <v>2</v>
      </c>
      <c r="K214" s="132">
        <f t="shared" ref="K214:K218" si="30">H214*D214</f>
        <v>192</v>
      </c>
      <c r="L214" s="30"/>
      <c r="M214" s="30"/>
    </row>
    <row r="215" spans="1:13" ht="15">
      <c r="A215" s="98"/>
      <c r="B215" s="268" t="s">
        <v>503</v>
      </c>
      <c r="C215" s="270"/>
      <c r="D215" s="172">
        <v>3</v>
      </c>
      <c r="E215" s="157">
        <v>10000</v>
      </c>
      <c r="F215" s="157">
        <f t="shared" si="29"/>
        <v>30000</v>
      </c>
      <c r="G215" s="103"/>
      <c r="H215" s="129">
        <v>73</v>
      </c>
      <c r="I215" s="130">
        <v>62</v>
      </c>
      <c r="J215" s="131">
        <v>2</v>
      </c>
      <c r="K215" s="132">
        <f t="shared" si="30"/>
        <v>219</v>
      </c>
      <c r="L215" s="30"/>
      <c r="M215" s="30"/>
    </row>
    <row r="216" spans="1:13" ht="15">
      <c r="A216" s="98"/>
      <c r="B216" s="268" t="s">
        <v>328</v>
      </c>
      <c r="C216" s="270"/>
      <c r="D216" s="172">
        <v>6</v>
      </c>
      <c r="E216" s="157">
        <v>5000</v>
      </c>
      <c r="F216" s="157">
        <f t="shared" si="29"/>
        <v>30000</v>
      </c>
      <c r="G216" s="103"/>
      <c r="H216" s="129">
        <v>65</v>
      </c>
      <c r="I216" s="130">
        <v>62</v>
      </c>
      <c r="J216" s="131">
        <v>2</v>
      </c>
      <c r="K216" s="132">
        <f t="shared" si="30"/>
        <v>390</v>
      </c>
      <c r="L216" s="30"/>
      <c r="M216" s="30"/>
    </row>
    <row r="217" spans="1:13" ht="15">
      <c r="A217" s="98"/>
      <c r="B217" s="268" t="s">
        <v>329</v>
      </c>
      <c r="C217" s="270"/>
      <c r="D217" s="172">
        <v>1</v>
      </c>
      <c r="E217" s="157">
        <v>10000</v>
      </c>
      <c r="F217" s="157">
        <f t="shared" si="29"/>
        <v>10000</v>
      </c>
      <c r="G217" s="103"/>
      <c r="H217" s="133">
        <v>238</v>
      </c>
      <c r="I217" s="130">
        <v>62</v>
      </c>
      <c r="J217" s="131">
        <v>1.5</v>
      </c>
      <c r="K217" s="136">
        <f t="shared" si="30"/>
        <v>238</v>
      </c>
      <c r="L217" s="30"/>
      <c r="M217" s="30"/>
    </row>
    <row r="218" spans="1:13" ht="15">
      <c r="A218" s="98"/>
      <c r="B218" s="268" t="s">
        <v>504</v>
      </c>
      <c r="C218" s="270"/>
      <c r="D218" s="172">
        <v>4</v>
      </c>
      <c r="E218" s="157">
        <v>10000</v>
      </c>
      <c r="F218" s="157">
        <f t="shared" si="29"/>
        <v>40000</v>
      </c>
      <c r="G218" s="103"/>
      <c r="H218" s="133">
        <v>38</v>
      </c>
      <c r="I218" s="130">
        <v>62</v>
      </c>
      <c r="J218" s="131">
        <v>1</v>
      </c>
      <c r="K218" s="136">
        <f t="shared" si="30"/>
        <v>152</v>
      </c>
      <c r="L218" s="30"/>
      <c r="M218" s="30"/>
    </row>
    <row r="219" spans="1:13" s="196" customFormat="1" ht="12.75">
      <c r="A219" s="158"/>
      <c r="B219" s="189"/>
      <c r="C219" s="190"/>
      <c r="D219" s="266" t="s">
        <v>490</v>
      </c>
      <c r="E219" s="267"/>
      <c r="F219" s="191">
        <f>SUM(F214:F218)</f>
        <v>140000</v>
      </c>
      <c r="G219" s="192"/>
      <c r="H219" s="193"/>
      <c r="I219" s="193"/>
      <c r="J219" s="194"/>
      <c r="K219" s="195"/>
      <c r="L219" s="43"/>
      <c r="M219" s="43"/>
    </row>
    <row r="220" spans="1:13" ht="8.1" customHeight="1">
      <c r="H220" s="126"/>
      <c r="I220" s="126"/>
      <c r="J220" s="126"/>
      <c r="K220" s="126"/>
      <c r="L220" s="30"/>
      <c r="M220" s="30"/>
    </row>
    <row r="221" spans="1:13" ht="15">
      <c r="A221" s="94"/>
      <c r="B221" s="252" t="s">
        <v>331</v>
      </c>
      <c r="C221" s="259"/>
      <c r="D221" s="259"/>
      <c r="E221" s="253"/>
      <c r="F221" s="96"/>
      <c r="G221" s="97"/>
      <c r="H221" s="127"/>
      <c r="I221" s="127"/>
      <c r="J221" s="127"/>
      <c r="K221" s="127"/>
      <c r="L221" s="30"/>
      <c r="M221" s="30"/>
    </row>
    <row r="222" spans="1:13" ht="15">
      <c r="A222" s="98"/>
      <c r="B222" s="268" t="s">
        <v>332</v>
      </c>
      <c r="C222" s="269"/>
      <c r="D222" s="269"/>
      <c r="E222" s="270"/>
      <c r="F222" s="105"/>
      <c r="G222" s="103"/>
      <c r="H222" s="129"/>
      <c r="I222" s="130"/>
      <c r="J222" s="131"/>
      <c r="K222" s="132"/>
      <c r="L222" s="30"/>
      <c r="M222" s="30"/>
    </row>
    <row r="223" spans="1:13" s="162" customFormat="1" ht="15">
      <c r="A223" s="159"/>
      <c r="B223" s="276" t="s">
        <v>505</v>
      </c>
      <c r="C223" s="277"/>
      <c r="D223" s="272" t="s">
        <v>490</v>
      </c>
      <c r="E223" s="273"/>
      <c r="F223" s="104">
        <f>SUM(F222)</f>
        <v>0</v>
      </c>
      <c r="G223" s="160"/>
      <c r="H223" s="182"/>
      <c r="I223" s="182"/>
      <c r="J223" s="183"/>
      <c r="K223" s="184"/>
      <c r="L223" s="161"/>
      <c r="M223" s="161"/>
    </row>
    <row r="224" spans="1:13" ht="8.1" customHeight="1">
      <c r="D224" s="271"/>
      <c r="E224" s="271"/>
      <c r="H224" s="126"/>
      <c r="I224" s="126"/>
      <c r="J224" s="126"/>
      <c r="K224" s="126"/>
      <c r="L224" s="30"/>
      <c r="M224" s="30"/>
    </row>
    <row r="225" spans="1:13" ht="15" customHeight="1">
      <c r="B225" s="274" t="s">
        <v>506</v>
      </c>
      <c r="C225" s="275"/>
      <c r="D225" s="275"/>
      <c r="E225" s="275"/>
      <c r="F225" s="186">
        <f>F219+F211+F197+F182+F170+F154+F134+F89+F71</f>
        <v>4455340</v>
      </c>
      <c r="H225" s="126"/>
      <c r="I225" s="126"/>
      <c r="J225" s="126"/>
      <c r="K225" s="126"/>
      <c r="L225" s="30"/>
      <c r="M225" s="30"/>
    </row>
    <row r="226" spans="1:13" ht="8.1" customHeight="1">
      <c r="F226" s="185"/>
      <c r="H226" s="126"/>
      <c r="I226" s="126"/>
      <c r="J226" s="126"/>
      <c r="K226" s="126"/>
      <c r="L226" s="30"/>
      <c r="M226" s="30"/>
    </row>
    <row r="227" spans="1:13" ht="15">
      <c r="A227" s="94"/>
      <c r="B227" s="252" t="s">
        <v>333</v>
      </c>
      <c r="C227" s="253"/>
      <c r="D227" s="170" t="s">
        <v>213</v>
      </c>
      <c r="E227" s="170" t="s">
        <v>2</v>
      </c>
      <c r="F227" s="171" t="s">
        <v>214</v>
      </c>
      <c r="G227" s="97"/>
      <c r="H227" s="127"/>
      <c r="I227" s="127"/>
      <c r="J227" s="127"/>
      <c r="K227" s="127"/>
      <c r="L227" s="30"/>
      <c r="M227" s="30"/>
    </row>
    <row r="228" spans="1:13" hidden="1">
      <c r="A228" s="98"/>
      <c r="B228" s="99" t="s">
        <v>334</v>
      </c>
      <c r="C228" s="100" t="s">
        <v>335</v>
      </c>
      <c r="D228" s="101">
        <v>0</v>
      </c>
      <c r="E228" s="102">
        <v>6500</v>
      </c>
      <c r="F228" s="102">
        <f>E228*D228</f>
        <v>0</v>
      </c>
      <c r="G228" s="103"/>
      <c r="H228" s="129"/>
      <c r="I228" s="130"/>
      <c r="J228" s="131"/>
      <c r="K228" s="132"/>
      <c r="L228" s="30"/>
      <c r="M228" s="30"/>
    </row>
    <row r="229" spans="1:13" ht="15">
      <c r="A229" s="98"/>
      <c r="B229" s="155" t="s">
        <v>336</v>
      </c>
      <c r="C229" s="154" t="s">
        <v>337</v>
      </c>
      <c r="D229" s="172">
        <v>3</v>
      </c>
      <c r="E229" s="157">
        <v>1100</v>
      </c>
      <c r="F229" s="157">
        <f>E229*D229</f>
        <v>3300</v>
      </c>
      <c r="G229" s="103"/>
      <c r="H229" s="129"/>
      <c r="I229" s="130"/>
      <c r="J229" s="131"/>
      <c r="K229" s="132"/>
      <c r="L229" s="30"/>
      <c r="M229" s="30"/>
    </row>
    <row r="230" spans="1:13" ht="25.5">
      <c r="A230" s="98"/>
      <c r="B230" s="155" t="s">
        <v>338</v>
      </c>
      <c r="C230" s="154" t="s">
        <v>339</v>
      </c>
      <c r="D230" s="172">
        <v>100</v>
      </c>
      <c r="E230" s="157">
        <v>124</v>
      </c>
      <c r="F230" s="157">
        <f>E230*D230</f>
        <v>12400</v>
      </c>
      <c r="G230" s="103"/>
      <c r="H230" s="129"/>
      <c r="I230" s="130"/>
      <c r="J230" s="131"/>
      <c r="K230" s="132"/>
      <c r="L230" s="30"/>
      <c r="M230" s="30"/>
    </row>
    <row r="231" spans="1:13" ht="15">
      <c r="A231" s="98"/>
      <c r="B231" s="155" t="s">
        <v>340</v>
      </c>
      <c r="C231" s="154" t="s">
        <v>341</v>
      </c>
      <c r="D231" s="172">
        <v>100</v>
      </c>
      <c r="E231" s="157">
        <v>223.2</v>
      </c>
      <c r="F231" s="157">
        <f t="shared" ref="F231:F232" si="31">E231*D231</f>
        <v>22320</v>
      </c>
      <c r="G231" s="103"/>
      <c r="H231" s="129"/>
      <c r="I231" s="130"/>
      <c r="J231" s="131"/>
      <c r="K231" s="132"/>
      <c r="L231" s="30"/>
      <c r="M231" s="30"/>
    </row>
    <row r="232" spans="1:13" ht="15" hidden="1">
      <c r="A232" s="98"/>
      <c r="B232" s="99" t="s">
        <v>342</v>
      </c>
      <c r="C232" s="100" t="s">
        <v>343</v>
      </c>
      <c r="D232" s="101">
        <v>0</v>
      </c>
      <c r="E232" s="102">
        <v>325</v>
      </c>
      <c r="F232" s="102">
        <f t="shared" si="31"/>
        <v>0</v>
      </c>
      <c r="G232" s="103"/>
      <c r="H232" s="129"/>
      <c r="I232" s="130"/>
      <c r="J232" s="131"/>
      <c r="K232" s="132"/>
      <c r="L232" s="30"/>
      <c r="M232" s="30"/>
    </row>
    <row r="233" spans="1:13" ht="15">
      <c r="A233" s="98"/>
      <c r="B233" s="254"/>
      <c r="C233" s="255"/>
      <c r="D233" s="255"/>
      <c r="E233" s="256"/>
      <c r="F233" s="109"/>
      <c r="G233" s="103"/>
      <c r="H233" s="137"/>
      <c r="I233" s="137"/>
      <c r="J233" s="138"/>
      <c r="K233" s="139"/>
      <c r="L233" s="30"/>
      <c r="M233" s="30"/>
    </row>
    <row r="234" spans="1:13" ht="15" hidden="1">
      <c r="H234" s="126"/>
      <c r="I234" s="126"/>
      <c r="J234" s="126"/>
      <c r="K234" s="126"/>
      <c r="L234" s="30"/>
      <c r="M234" s="30"/>
    </row>
    <row r="235" spans="1:13" ht="15" hidden="1">
      <c r="A235" s="94"/>
      <c r="B235" s="252" t="s">
        <v>344</v>
      </c>
      <c r="C235" s="253"/>
      <c r="D235" s="95" t="s">
        <v>213</v>
      </c>
      <c r="E235" s="95" t="s">
        <v>2</v>
      </c>
      <c r="F235" s="96" t="s">
        <v>214</v>
      </c>
      <c r="G235" s="97"/>
      <c r="H235" s="127" t="s">
        <v>385</v>
      </c>
      <c r="I235" s="127" t="s">
        <v>386</v>
      </c>
      <c r="J235" s="127" t="s">
        <v>387</v>
      </c>
      <c r="K235" s="127" t="s">
        <v>388</v>
      </c>
      <c r="L235" s="30"/>
      <c r="M235" s="30"/>
    </row>
    <row r="236" spans="1:13" ht="60" hidden="1">
      <c r="A236" s="98"/>
      <c r="B236" s="99" t="s">
        <v>345</v>
      </c>
      <c r="C236" s="100" t="s">
        <v>346</v>
      </c>
      <c r="D236" s="101">
        <v>1</v>
      </c>
      <c r="E236" s="102">
        <v>70000</v>
      </c>
      <c r="F236" s="102">
        <f>E236*D236</f>
        <v>70000</v>
      </c>
      <c r="G236" s="103"/>
      <c r="H236" s="129"/>
      <c r="I236" s="130"/>
      <c r="J236" s="131"/>
      <c r="K236" s="132"/>
      <c r="L236" s="30"/>
      <c r="M236" s="30"/>
    </row>
    <row r="237" spans="1:13" ht="60" hidden="1">
      <c r="A237" s="98"/>
      <c r="B237" s="99" t="s">
        <v>347</v>
      </c>
      <c r="C237" s="100" t="s">
        <v>346</v>
      </c>
      <c r="D237" s="101">
        <v>1</v>
      </c>
      <c r="E237" s="102">
        <v>100000</v>
      </c>
      <c r="F237" s="102">
        <f>E237*D237</f>
        <v>100000</v>
      </c>
      <c r="G237" s="103"/>
      <c r="H237" s="129"/>
      <c r="I237" s="130"/>
      <c r="J237" s="131"/>
      <c r="K237" s="132"/>
      <c r="L237" s="30"/>
      <c r="M237" s="30"/>
    </row>
    <row r="238" spans="1:13" ht="15" hidden="1">
      <c r="A238" s="98"/>
      <c r="B238" s="254"/>
      <c r="C238" s="255"/>
      <c r="D238" s="255"/>
      <c r="E238" s="256"/>
      <c r="F238" s="109"/>
      <c r="G238" s="103"/>
      <c r="H238" s="137"/>
      <c r="I238" s="137"/>
      <c r="J238" s="138"/>
      <c r="K238" s="139"/>
      <c r="L238" s="30"/>
      <c r="M238" s="30"/>
    </row>
    <row r="239" spans="1:13" ht="15" hidden="1">
      <c r="H239" s="126"/>
      <c r="I239" s="126"/>
      <c r="J239" s="126"/>
      <c r="K239" s="126"/>
      <c r="L239" s="30"/>
      <c r="M239" s="30"/>
    </row>
    <row r="240" spans="1:13" ht="15" hidden="1">
      <c r="B240" s="59" t="s">
        <v>348</v>
      </c>
      <c r="H240" s="126"/>
      <c r="I240" s="126"/>
      <c r="J240" s="126"/>
      <c r="K240" s="126"/>
      <c r="L240" s="30"/>
      <c r="M240" s="30"/>
    </row>
    <row r="241" spans="1:13" ht="15" hidden="1">
      <c r="H241" s="126"/>
      <c r="I241" s="126"/>
      <c r="J241" s="126"/>
      <c r="K241" s="126"/>
      <c r="L241" s="30"/>
      <c r="M241" s="30"/>
    </row>
    <row r="242" spans="1:13" ht="15" hidden="1">
      <c r="A242" s="94"/>
      <c r="B242" s="252" t="s">
        <v>349</v>
      </c>
      <c r="C242" s="253"/>
      <c r="D242" s="95" t="s">
        <v>213</v>
      </c>
      <c r="E242" s="95" t="s">
        <v>2</v>
      </c>
      <c r="F242" s="96" t="s">
        <v>214</v>
      </c>
      <c r="G242" s="97"/>
      <c r="H242" s="127" t="s">
        <v>385</v>
      </c>
      <c r="I242" s="127" t="s">
        <v>386</v>
      </c>
      <c r="J242" s="127" t="s">
        <v>387</v>
      </c>
      <c r="K242" s="127" t="s">
        <v>388</v>
      </c>
      <c r="L242" s="30"/>
      <c r="M242" s="30"/>
    </row>
    <row r="243" spans="1:13" ht="15" hidden="1">
      <c r="A243" s="98"/>
      <c r="B243" s="99" t="s">
        <v>350</v>
      </c>
      <c r="C243" s="100" t="s">
        <v>351</v>
      </c>
      <c r="D243" s="101">
        <v>1</v>
      </c>
      <c r="E243" s="102">
        <f>H243*I243*J243</f>
        <v>854074.8</v>
      </c>
      <c r="F243" s="102">
        <f>E243*D243</f>
        <v>854074.8</v>
      </c>
      <c r="G243" s="103"/>
      <c r="H243" s="129">
        <v>7653</v>
      </c>
      <c r="I243" s="130">
        <v>62</v>
      </c>
      <c r="J243" s="131">
        <v>1.8</v>
      </c>
      <c r="K243" s="132">
        <f>H243*D243</f>
        <v>7653</v>
      </c>
      <c r="L243" s="30"/>
      <c r="M243" s="30"/>
    </row>
    <row r="244" spans="1:13" ht="15" hidden="1">
      <c r="A244" s="98"/>
      <c r="B244" s="99" t="s">
        <v>352</v>
      </c>
      <c r="C244" s="100" t="s">
        <v>353</v>
      </c>
      <c r="D244" s="101">
        <v>1</v>
      </c>
      <c r="E244" s="102">
        <f>H244*I244*J244</f>
        <v>107136</v>
      </c>
      <c r="F244" s="102">
        <f>E244*D244</f>
        <v>107136</v>
      </c>
      <c r="G244" s="103"/>
      <c r="H244" s="129">
        <v>960</v>
      </c>
      <c r="I244" s="130">
        <v>62</v>
      </c>
      <c r="J244" s="131">
        <v>1.8</v>
      </c>
      <c r="K244" s="132">
        <f>H244*D244</f>
        <v>960</v>
      </c>
      <c r="L244" s="30"/>
      <c r="M244" s="30"/>
    </row>
    <row r="245" spans="1:13" hidden="1">
      <c r="A245" s="98"/>
      <c r="B245" s="99" t="s">
        <v>354</v>
      </c>
      <c r="C245" s="100" t="s">
        <v>355</v>
      </c>
      <c r="D245" s="101">
        <v>1</v>
      </c>
      <c r="E245" s="102">
        <f>H245*I245*J245</f>
        <v>84816</v>
      </c>
      <c r="F245" s="102">
        <f>E245*D245</f>
        <v>84816</v>
      </c>
      <c r="G245" s="103"/>
      <c r="H245" s="129">
        <v>760</v>
      </c>
      <c r="I245" s="130">
        <v>62</v>
      </c>
      <c r="J245" s="131">
        <v>1.8</v>
      </c>
      <c r="K245" s="132">
        <f>H245*D245</f>
        <v>760</v>
      </c>
      <c r="L245" s="30"/>
      <c r="M245" s="30"/>
    </row>
    <row r="246" spans="1:13" hidden="1">
      <c r="A246" s="98"/>
      <c r="B246" s="99" t="s">
        <v>356</v>
      </c>
      <c r="C246" s="100" t="s">
        <v>357</v>
      </c>
      <c r="D246" s="101">
        <v>1</v>
      </c>
      <c r="E246" s="102">
        <f t="shared" ref="E246:E249" si="32">H246*I246*J246</f>
        <v>209808</v>
      </c>
      <c r="F246" s="102">
        <f t="shared" ref="F246:F249" si="33">E246*D246</f>
        <v>209808</v>
      </c>
      <c r="G246" s="103"/>
      <c r="H246" s="129">
        <v>1880</v>
      </c>
      <c r="I246" s="130">
        <v>62</v>
      </c>
      <c r="J246" s="131">
        <v>1.8</v>
      </c>
      <c r="K246" s="132">
        <f t="shared" ref="K246:K249" si="34">H246*D246</f>
        <v>1880</v>
      </c>
      <c r="L246" s="30"/>
      <c r="M246" s="30"/>
    </row>
    <row r="247" spans="1:13" ht="15" hidden="1">
      <c r="A247" s="98"/>
      <c r="B247" s="99" t="s">
        <v>358</v>
      </c>
      <c r="C247" s="100" t="s">
        <v>359</v>
      </c>
      <c r="D247" s="101">
        <v>1</v>
      </c>
      <c r="E247" s="102">
        <f t="shared" si="32"/>
        <v>84927.6</v>
      </c>
      <c r="F247" s="102">
        <f t="shared" si="33"/>
        <v>84927.6</v>
      </c>
      <c r="G247" s="103"/>
      <c r="H247" s="129">
        <v>761</v>
      </c>
      <c r="I247" s="130">
        <v>62</v>
      </c>
      <c r="J247" s="131">
        <v>1.8</v>
      </c>
      <c r="K247" s="132">
        <f t="shared" si="34"/>
        <v>761</v>
      </c>
      <c r="L247" s="30"/>
      <c r="M247" s="30"/>
    </row>
    <row r="248" spans="1:13" hidden="1">
      <c r="A248" s="98"/>
      <c r="B248" s="99" t="s">
        <v>360</v>
      </c>
      <c r="C248" s="100" t="s">
        <v>361</v>
      </c>
      <c r="D248" s="101">
        <v>1</v>
      </c>
      <c r="E248" s="102">
        <f t="shared" si="32"/>
        <v>112716</v>
      </c>
      <c r="F248" s="102">
        <f t="shared" si="33"/>
        <v>112716</v>
      </c>
      <c r="G248" s="103"/>
      <c r="H248" s="129">
        <v>1010</v>
      </c>
      <c r="I248" s="130">
        <v>62</v>
      </c>
      <c r="J248" s="131">
        <v>1.8</v>
      </c>
      <c r="K248" s="132">
        <f t="shared" si="34"/>
        <v>1010</v>
      </c>
      <c r="L248" s="30"/>
      <c r="M248" s="30"/>
    </row>
    <row r="249" spans="1:13" ht="15" hidden="1">
      <c r="A249" s="98"/>
      <c r="B249" s="99" t="s">
        <v>362</v>
      </c>
      <c r="C249" s="100" t="s">
        <v>363</v>
      </c>
      <c r="D249" s="101">
        <v>1</v>
      </c>
      <c r="E249" s="102">
        <f t="shared" si="32"/>
        <v>47541.599999999999</v>
      </c>
      <c r="F249" s="102">
        <f t="shared" si="33"/>
        <v>47541.599999999999</v>
      </c>
      <c r="G249" s="103"/>
      <c r="H249" s="129">
        <v>426</v>
      </c>
      <c r="I249" s="130">
        <v>62</v>
      </c>
      <c r="J249" s="131">
        <v>1.8</v>
      </c>
      <c r="K249" s="132">
        <f t="shared" si="34"/>
        <v>426</v>
      </c>
      <c r="L249" s="30"/>
      <c r="M249" s="30"/>
    </row>
    <row r="250" spans="1:13" ht="15" hidden="1">
      <c r="A250" s="98"/>
      <c r="B250" s="254" t="s">
        <v>245</v>
      </c>
      <c r="C250" s="255"/>
      <c r="D250" s="255"/>
      <c r="E250" s="256"/>
      <c r="F250" s="104">
        <f>SUM(F243:F249)</f>
        <v>1501020.0000000002</v>
      </c>
      <c r="G250" s="103"/>
      <c r="H250" s="137"/>
      <c r="I250" s="137"/>
      <c r="J250" s="138"/>
      <c r="K250" s="139"/>
      <c r="L250" s="30"/>
      <c r="M250" s="30"/>
    </row>
    <row r="251" spans="1:13" ht="15" hidden="1">
      <c r="H251" s="126"/>
      <c r="I251" s="126"/>
      <c r="J251" s="126"/>
      <c r="K251" s="126"/>
      <c r="L251" s="30"/>
      <c r="M251" s="30"/>
    </row>
    <row r="252" spans="1:13" ht="15" hidden="1">
      <c r="A252" s="94"/>
      <c r="B252" s="252" t="s">
        <v>364</v>
      </c>
      <c r="C252" s="253"/>
      <c r="D252" s="95" t="s">
        <v>213</v>
      </c>
      <c r="E252" s="95" t="s">
        <v>2</v>
      </c>
      <c r="F252" s="96" t="s">
        <v>214</v>
      </c>
      <c r="G252" s="97"/>
      <c r="H252" s="127" t="s">
        <v>385</v>
      </c>
      <c r="I252" s="127" t="s">
        <v>386</v>
      </c>
      <c r="J252" s="127" t="s">
        <v>387</v>
      </c>
      <c r="K252" s="127" t="s">
        <v>388</v>
      </c>
      <c r="L252" s="30"/>
      <c r="M252" s="30"/>
    </row>
    <row r="253" spans="1:13" hidden="1">
      <c r="A253" s="98"/>
      <c r="B253" s="99" t="s">
        <v>365</v>
      </c>
      <c r="C253" s="100" t="s">
        <v>366</v>
      </c>
      <c r="D253" s="101">
        <v>1</v>
      </c>
      <c r="E253" s="102">
        <f>H253*I253*J253</f>
        <v>62496</v>
      </c>
      <c r="F253" s="102">
        <f>E253*D253</f>
        <v>62496</v>
      </c>
      <c r="G253" s="103"/>
      <c r="H253" s="129">
        <v>560</v>
      </c>
      <c r="I253" s="130">
        <v>62</v>
      </c>
      <c r="J253" s="131">
        <v>1.8</v>
      </c>
      <c r="K253" s="132">
        <f>H253*D253</f>
        <v>560</v>
      </c>
      <c r="L253" s="30"/>
      <c r="M253" s="30"/>
    </row>
    <row r="254" spans="1:13" hidden="1">
      <c r="A254" s="98"/>
      <c r="B254" s="99" t="s">
        <v>367</v>
      </c>
      <c r="C254" s="100" t="s">
        <v>368</v>
      </c>
      <c r="D254" s="101">
        <v>1</v>
      </c>
      <c r="E254" s="102">
        <f>H254*I254*J254</f>
        <v>72540</v>
      </c>
      <c r="F254" s="102">
        <f>E254*D254</f>
        <v>72540</v>
      </c>
      <c r="G254" s="103"/>
      <c r="H254" s="129">
        <v>650</v>
      </c>
      <c r="I254" s="130">
        <v>62</v>
      </c>
      <c r="J254" s="131">
        <v>1.8</v>
      </c>
      <c r="K254" s="132">
        <f>H254*D254</f>
        <v>650</v>
      </c>
      <c r="L254" s="30"/>
      <c r="M254" s="30"/>
    </row>
    <row r="255" spans="1:13" hidden="1">
      <c r="A255" s="98"/>
      <c r="B255" s="99" t="s">
        <v>369</v>
      </c>
      <c r="C255" s="100" t="s">
        <v>370</v>
      </c>
      <c r="D255" s="101">
        <v>1</v>
      </c>
      <c r="E255" s="102">
        <f>H255*I255*J255</f>
        <v>311364</v>
      </c>
      <c r="F255" s="102">
        <f>E255*D255</f>
        <v>311364</v>
      </c>
      <c r="G255" s="103"/>
      <c r="H255" s="129">
        <v>2790</v>
      </c>
      <c r="I255" s="130">
        <v>62</v>
      </c>
      <c r="J255" s="131">
        <v>1.8</v>
      </c>
      <c r="K255" s="132">
        <f>H255*D255</f>
        <v>2790</v>
      </c>
      <c r="L255" s="30"/>
      <c r="M255" s="30"/>
    </row>
    <row r="256" spans="1:13" ht="15" hidden="1">
      <c r="A256" s="98"/>
      <c r="B256" s="254" t="s">
        <v>245</v>
      </c>
      <c r="C256" s="255"/>
      <c r="D256" s="255"/>
      <c r="E256" s="256"/>
      <c r="F256" s="104">
        <f>SUM(F253:F255)</f>
        <v>446400</v>
      </c>
      <c r="G256" s="103"/>
      <c r="H256" s="137"/>
      <c r="I256" s="137"/>
      <c r="J256" s="138"/>
      <c r="K256" s="139"/>
      <c r="L256" s="30"/>
      <c r="M256" s="30"/>
    </row>
    <row r="257" spans="1:13" ht="15" hidden="1">
      <c r="H257" s="126"/>
      <c r="I257" s="126"/>
      <c r="J257" s="126"/>
      <c r="K257" s="126"/>
      <c r="L257" s="30"/>
      <c r="M257" s="30"/>
    </row>
    <row r="258" spans="1:13" ht="15" hidden="1">
      <c r="B258" s="30" t="s">
        <v>371</v>
      </c>
      <c r="H258" s="126"/>
      <c r="I258" s="126"/>
      <c r="J258" s="126"/>
      <c r="K258" s="126"/>
      <c r="L258" s="30"/>
      <c r="M258" s="30"/>
    </row>
    <row r="259" spans="1:13" ht="15" hidden="1">
      <c r="H259" s="126"/>
      <c r="I259" s="126"/>
      <c r="J259" s="126"/>
      <c r="K259" s="126"/>
      <c r="L259" s="30"/>
      <c r="M259" s="30"/>
    </row>
    <row r="260" spans="1:13" ht="15" hidden="1">
      <c r="A260" s="94"/>
      <c r="B260" s="252" t="s">
        <v>372</v>
      </c>
      <c r="C260" s="253"/>
      <c r="D260" s="95" t="s">
        <v>213</v>
      </c>
      <c r="E260" s="95" t="s">
        <v>2</v>
      </c>
      <c r="F260" s="96" t="s">
        <v>214</v>
      </c>
      <c r="G260" s="97"/>
      <c r="H260" s="127" t="s">
        <v>385</v>
      </c>
      <c r="I260" s="127" t="s">
        <v>386</v>
      </c>
      <c r="J260" s="127" t="s">
        <v>387</v>
      </c>
      <c r="K260" s="127" t="s">
        <v>388</v>
      </c>
      <c r="L260" s="30"/>
      <c r="M260" s="30"/>
    </row>
    <row r="261" spans="1:13" ht="135" hidden="1">
      <c r="A261" s="98"/>
      <c r="B261" s="99" t="s">
        <v>373</v>
      </c>
      <c r="C261" s="100" t="s">
        <v>374</v>
      </c>
      <c r="D261" s="101">
        <v>1</v>
      </c>
      <c r="E261" s="102">
        <f>H261*I261*J261</f>
        <v>236034</v>
      </c>
      <c r="F261" s="102">
        <f>E261*D261</f>
        <v>236034</v>
      </c>
      <c r="G261" s="103"/>
      <c r="H261" s="129">
        <v>2115</v>
      </c>
      <c r="I261" s="130">
        <v>62</v>
      </c>
      <c r="J261" s="131">
        <v>1.8</v>
      </c>
      <c r="K261" s="132">
        <f>H261*D261</f>
        <v>2115</v>
      </c>
      <c r="L261" s="30"/>
      <c r="M261" s="30"/>
    </row>
    <row r="262" spans="1:13" ht="165" hidden="1">
      <c r="A262" s="98"/>
      <c r="B262" s="99" t="s">
        <v>375</v>
      </c>
      <c r="C262" s="100" t="s">
        <v>376</v>
      </c>
      <c r="D262" s="101">
        <v>1</v>
      </c>
      <c r="E262" s="102">
        <f>H262*I262*J262</f>
        <v>424080</v>
      </c>
      <c r="F262" s="102">
        <f>E262*D262</f>
        <v>424080</v>
      </c>
      <c r="G262" s="103"/>
      <c r="H262" s="129">
        <v>3800</v>
      </c>
      <c r="I262" s="130">
        <v>62</v>
      </c>
      <c r="J262" s="131">
        <v>1.8</v>
      </c>
      <c r="K262" s="132">
        <f>H262*D262</f>
        <v>3800</v>
      </c>
      <c r="L262" s="30"/>
      <c r="M262" s="30"/>
    </row>
    <row r="263" spans="1:13" hidden="1">
      <c r="A263" s="98"/>
      <c r="B263" s="99" t="s">
        <v>377</v>
      </c>
      <c r="C263" s="100" t="s">
        <v>378</v>
      </c>
      <c r="D263" s="101">
        <v>2</v>
      </c>
      <c r="E263" s="102">
        <f>H263*I263*J263</f>
        <v>89094</v>
      </c>
      <c r="F263" s="102">
        <f>E263*D263</f>
        <v>178188</v>
      </c>
      <c r="G263" s="103"/>
      <c r="H263" s="129">
        <v>958</v>
      </c>
      <c r="I263" s="130">
        <v>62</v>
      </c>
      <c r="J263" s="131">
        <v>1.5</v>
      </c>
      <c r="K263" s="132">
        <f>H263*D263</f>
        <v>1916</v>
      </c>
      <c r="L263" s="30"/>
      <c r="M263" s="30"/>
    </row>
    <row r="264" spans="1:13" ht="15" hidden="1">
      <c r="A264" s="98"/>
      <c r="B264" s="99" t="s">
        <v>379</v>
      </c>
      <c r="C264" s="100" t="s">
        <v>380</v>
      </c>
      <c r="D264" s="101">
        <v>2</v>
      </c>
      <c r="E264" s="102">
        <f t="shared" ref="E264:E265" si="35">H264*I264*J264</f>
        <v>3906</v>
      </c>
      <c r="F264" s="102">
        <f t="shared" ref="F264:F265" si="36">E264*D264</f>
        <v>7812</v>
      </c>
      <c r="G264" s="103"/>
      <c r="H264" s="129">
        <v>35</v>
      </c>
      <c r="I264" s="130">
        <v>62</v>
      </c>
      <c r="J264" s="131">
        <v>1.8</v>
      </c>
      <c r="K264" s="132">
        <f t="shared" ref="K264:K265" si="37">H264*D264</f>
        <v>70</v>
      </c>
      <c r="L264" s="30"/>
      <c r="M264" s="30"/>
    </row>
    <row r="265" spans="1:13" ht="15" hidden="1">
      <c r="A265" s="98"/>
      <c r="B265" s="99" t="s">
        <v>381</v>
      </c>
      <c r="C265" s="100" t="s">
        <v>382</v>
      </c>
      <c r="D265" s="101">
        <v>2</v>
      </c>
      <c r="E265" s="102">
        <f t="shared" si="35"/>
        <v>30355.200000000001</v>
      </c>
      <c r="F265" s="102">
        <f t="shared" si="36"/>
        <v>60710.400000000001</v>
      </c>
      <c r="G265" s="103"/>
      <c r="H265" s="129">
        <v>272</v>
      </c>
      <c r="I265" s="130">
        <v>62</v>
      </c>
      <c r="J265" s="131">
        <v>1.8</v>
      </c>
      <c r="K265" s="132">
        <f t="shared" si="37"/>
        <v>544</v>
      </c>
      <c r="L265" s="30"/>
      <c r="M265" s="30"/>
    </row>
    <row r="266" spans="1:13" ht="15" hidden="1">
      <c r="A266" s="98"/>
      <c r="B266" s="254" t="s">
        <v>245</v>
      </c>
      <c r="C266" s="255"/>
      <c r="D266" s="255"/>
      <c r="E266" s="256"/>
      <c r="F266" s="104">
        <f>SUM(F261:F265)</f>
        <v>906824.4</v>
      </c>
      <c r="G266" s="103"/>
      <c r="H266" s="137"/>
      <c r="I266" s="137"/>
      <c r="J266" s="138"/>
      <c r="K266" s="139"/>
      <c r="L266" s="30"/>
      <c r="M266" s="30"/>
    </row>
    <row r="267" spans="1:13" ht="15" hidden="1">
      <c r="H267" s="126"/>
      <c r="I267" s="126"/>
      <c r="J267" s="126"/>
      <c r="K267" s="126"/>
      <c r="L267" s="30"/>
      <c r="M267" s="30"/>
    </row>
    <row r="268" spans="1:13" ht="15" hidden="1">
      <c r="A268" s="94"/>
      <c r="B268" s="252" t="s">
        <v>383</v>
      </c>
      <c r="C268" s="253"/>
      <c r="D268" s="95" t="s">
        <v>213</v>
      </c>
      <c r="E268" s="95" t="s">
        <v>2</v>
      </c>
      <c r="F268" s="96" t="s">
        <v>214</v>
      </c>
      <c r="G268" s="97"/>
      <c r="H268" s="127" t="s">
        <v>385</v>
      </c>
      <c r="I268" s="127" t="s">
        <v>386</v>
      </c>
      <c r="J268" s="127" t="s">
        <v>387</v>
      </c>
      <c r="K268" s="127" t="s">
        <v>388</v>
      </c>
      <c r="L268" s="30"/>
      <c r="M268" s="30"/>
    </row>
    <row r="269" spans="1:13" ht="15" hidden="1">
      <c r="A269" s="98"/>
      <c r="B269" s="99" t="s">
        <v>237</v>
      </c>
      <c r="C269" s="100" t="s">
        <v>238</v>
      </c>
      <c r="D269" s="101">
        <v>2</v>
      </c>
      <c r="E269" s="102">
        <f t="shared" ref="E269:E270" si="38">H269*I269*J269</f>
        <v>128786.40000000001</v>
      </c>
      <c r="F269" s="102">
        <f t="shared" ref="F269:F270" si="39">E269*D269</f>
        <v>257572.80000000002</v>
      </c>
      <c r="G269" s="103"/>
      <c r="H269" s="129">
        <v>1154</v>
      </c>
      <c r="I269" s="130">
        <v>62</v>
      </c>
      <c r="J269" s="131">
        <v>1.8</v>
      </c>
      <c r="K269" s="132">
        <f t="shared" ref="K269:K270" si="40">H269*D269</f>
        <v>2308</v>
      </c>
      <c r="L269" s="30"/>
      <c r="M269" s="30"/>
    </row>
    <row r="270" spans="1:13" hidden="1">
      <c r="A270" s="98"/>
      <c r="B270" s="99" t="s">
        <v>239</v>
      </c>
      <c r="C270" s="100" t="s">
        <v>240</v>
      </c>
      <c r="D270" s="101">
        <v>2</v>
      </c>
      <c r="E270" s="102">
        <f t="shared" si="38"/>
        <v>14284.800000000001</v>
      </c>
      <c r="F270" s="102">
        <f t="shared" si="39"/>
        <v>28569.600000000002</v>
      </c>
      <c r="G270" s="103"/>
      <c r="H270" s="129">
        <v>128</v>
      </c>
      <c r="I270" s="130">
        <v>62</v>
      </c>
      <c r="J270" s="131">
        <v>1.8</v>
      </c>
      <c r="K270" s="132">
        <f t="shared" si="40"/>
        <v>256</v>
      </c>
      <c r="L270" s="30"/>
      <c r="M270" s="30"/>
    </row>
    <row r="271" spans="1:13" ht="15" hidden="1">
      <c r="A271" s="98"/>
      <c r="B271" s="254" t="s">
        <v>245</v>
      </c>
      <c r="C271" s="255"/>
      <c r="D271" s="255"/>
      <c r="E271" s="256"/>
      <c r="F271" s="104">
        <f>SUM(F269:F270)</f>
        <v>286142.40000000002</v>
      </c>
      <c r="G271" s="103"/>
      <c r="H271" s="137"/>
      <c r="I271" s="137"/>
      <c r="J271" s="138"/>
      <c r="K271" s="139"/>
      <c r="L271" s="30"/>
      <c r="M271" s="30"/>
    </row>
    <row r="272" spans="1:13" ht="15"/>
  </sheetData>
  <dataConsolidate/>
  <mergeCells count="62">
    <mergeCell ref="B156:C156"/>
    <mergeCell ref="D170:E170"/>
    <mergeCell ref="D219:E219"/>
    <mergeCell ref="D211:E211"/>
    <mergeCell ref="B223:C223"/>
    <mergeCell ref="B172:C172"/>
    <mergeCell ref="B184:C184"/>
    <mergeCell ref="D182:E182"/>
    <mergeCell ref="D224:E224"/>
    <mergeCell ref="D223:E223"/>
    <mergeCell ref="D197:E197"/>
    <mergeCell ref="B260:C260"/>
    <mergeCell ref="B266:E266"/>
    <mergeCell ref="B233:E233"/>
    <mergeCell ref="B225:E225"/>
    <mergeCell ref="B213:C213"/>
    <mergeCell ref="B214:C214"/>
    <mergeCell ref="B215:C215"/>
    <mergeCell ref="B216:C216"/>
    <mergeCell ref="B217:C217"/>
    <mergeCell ref="B218:C218"/>
    <mergeCell ref="B199:C199"/>
    <mergeCell ref="B268:C268"/>
    <mergeCell ref="B271:E271"/>
    <mergeCell ref="B73:C73"/>
    <mergeCell ref="D89:E89"/>
    <mergeCell ref="D134:E134"/>
    <mergeCell ref="D154:E154"/>
    <mergeCell ref="B136:C136"/>
    <mergeCell ref="B235:C235"/>
    <mergeCell ref="B238:E238"/>
    <mergeCell ref="B242:C242"/>
    <mergeCell ref="B250:E250"/>
    <mergeCell ref="B252:C252"/>
    <mergeCell ref="B256:E256"/>
    <mergeCell ref="B221:E221"/>
    <mergeCell ref="B222:E222"/>
    <mergeCell ref="B227:C227"/>
    <mergeCell ref="B55:C55"/>
    <mergeCell ref="B91:C91"/>
    <mergeCell ref="B116:E116"/>
    <mergeCell ref="B118:C118"/>
    <mergeCell ref="D71:E71"/>
    <mergeCell ref="D42:F42"/>
    <mergeCell ref="C6:D6"/>
    <mergeCell ref="H6:J7"/>
    <mergeCell ref="C7:D7"/>
    <mergeCell ref="C8:D8"/>
    <mergeCell ref="C9:D9"/>
    <mergeCell ref="B10:F10"/>
    <mergeCell ref="I10:J10"/>
    <mergeCell ref="H11:K28"/>
    <mergeCell ref="I29:J29"/>
    <mergeCell ref="I30:J30"/>
    <mergeCell ref="I31:J31"/>
    <mergeCell ref="I33:J33"/>
    <mergeCell ref="H5:J5"/>
    <mergeCell ref="B1:D1"/>
    <mergeCell ref="B2:D2"/>
    <mergeCell ref="B3:D3"/>
    <mergeCell ref="E3:F3"/>
    <mergeCell ref="B4:D4"/>
  </mergeCells>
  <conditionalFormatting sqref="D56:D70 D92:D115 D119:D133 D173:D181 D214:D218">
    <cfRule type="cellIs" dxfId="31" priority="14" operator="equal">
      <formula>0</formula>
    </cfRule>
  </conditionalFormatting>
  <conditionalFormatting sqref="D185:D196">
    <cfRule type="cellIs" dxfId="30" priority="13" operator="equal">
      <formula>0</formula>
    </cfRule>
  </conditionalFormatting>
  <conditionalFormatting sqref="D200:D210">
    <cfRule type="cellIs" dxfId="29" priority="12" operator="equal">
      <formula>0</formula>
    </cfRule>
  </conditionalFormatting>
  <conditionalFormatting sqref="D228:D232">
    <cfRule type="cellIs" dxfId="28" priority="11" operator="equal">
      <formula>0</formula>
    </cfRule>
  </conditionalFormatting>
  <conditionalFormatting sqref="D236:D237">
    <cfRule type="cellIs" dxfId="27" priority="10" operator="equal">
      <formula>0</formula>
    </cfRule>
  </conditionalFormatting>
  <conditionalFormatting sqref="D243:D249">
    <cfRule type="cellIs" dxfId="26" priority="9" operator="equal">
      <formula>0</formula>
    </cfRule>
  </conditionalFormatting>
  <conditionalFormatting sqref="D253:D255">
    <cfRule type="cellIs" dxfId="25" priority="8" operator="equal">
      <formula>0</formula>
    </cfRule>
  </conditionalFormatting>
  <conditionalFormatting sqref="D261:D265">
    <cfRule type="cellIs" dxfId="24" priority="7" operator="equal">
      <formula>0</formula>
    </cfRule>
  </conditionalFormatting>
  <conditionalFormatting sqref="D269:D270">
    <cfRule type="cellIs" dxfId="23" priority="6" operator="equal">
      <formula>0</formula>
    </cfRule>
  </conditionalFormatting>
  <conditionalFormatting sqref="D74:D88">
    <cfRule type="cellIs" dxfId="22" priority="5" operator="equal">
      <formula>0</formula>
    </cfRule>
  </conditionalFormatting>
  <conditionalFormatting sqref="D137:D146 D149:D153">
    <cfRule type="cellIs" dxfId="21" priority="4" operator="equal">
      <formula>0</formula>
    </cfRule>
  </conditionalFormatting>
  <conditionalFormatting sqref="D147:D148">
    <cfRule type="cellIs" dxfId="20" priority="3" operator="equal">
      <formula>0</formula>
    </cfRule>
  </conditionalFormatting>
  <conditionalFormatting sqref="D157:D165 D168:D169">
    <cfRule type="cellIs" dxfId="19" priority="2" operator="equal">
      <formula>0</formula>
    </cfRule>
  </conditionalFormatting>
  <conditionalFormatting sqref="D166:D167">
    <cfRule type="cellIs" dxfId="18" priority="1" operator="equal">
      <formula>0</formula>
    </cfRule>
  </conditionalFormatting>
  <dataValidations count="28">
    <dataValidation allowBlank="1" showInputMessage="1" showErrorMessage="1" prompt="Append company Contact Name, Phone Number, and Email address in this cell" sqref="B40:D40 F40"/>
    <dataValidation allowBlank="1" showInputMessage="1" showErrorMessage="1" prompt="Enter customer Phone number in this cell" sqref="B6:C6"/>
    <dataValidation allowBlank="1" showInputMessage="1" showErrorMessage="1" prompt="Enter customer City, State, and Zip Code in this cell" sqref="B7:C7"/>
    <dataValidation allowBlank="1" showInputMessage="1" showErrorMessage="1" prompt="Enter customer Street Address in this cell" sqref="B5:C5"/>
    <dataValidation allowBlank="1" showInputMessage="1" showErrorMessage="1" prompt="Enter customer Company Name in this cell" sqref="B9:C9"/>
    <dataValidation allowBlank="1" showInputMessage="1" showErrorMessage="1" prompt="Enter customer Name in this cell" sqref="B8:C8"/>
    <dataValidation allowBlank="1" showInputMessage="1" showErrorMessage="1" prompt="Enter company Street Address in this cell" sqref="B2"/>
    <dataValidation allowBlank="1" showInputMessage="1" showErrorMessage="1" prompt="Enter Company Name in this cell and slogan in cell below. Quotation title is in cell at right" sqref="B1:D1"/>
    <dataValidation allowBlank="1" showInputMessage="1" showErrorMessage="1" prompt="Enter Quotation end date in cell at right" sqref="E4"/>
    <dataValidation allowBlank="1" showInputMessage="1" showErrorMessage="1" prompt="Enter Prepared by name in cell at right" sqref="E5"/>
    <dataValidation allowBlank="1" showInputMessage="1" showErrorMessage="1" prompt="Enter Quotation number in this cell" sqref="F2"/>
    <dataValidation allowBlank="1" showInputMessage="1" showErrorMessage="1" prompt="Enter Quotation end date in this cell" sqref="F4"/>
    <dataValidation allowBlank="1" showInputMessage="1" showErrorMessage="1" prompt="Enter Prepared by name in this cell" sqref="F5:F6 F8"/>
    <dataValidation allowBlank="1" showInputMessage="1" showErrorMessage="1" prompt="Enter Tax Rate in this cell" sqref="F30"/>
    <dataValidation allowBlank="1" showInputMessage="1" showErrorMessage="1" prompt="Enter Tax Rate in cell at right" sqref="E30"/>
    <dataValidation allowBlank="1" showInputMessage="1" showErrorMessage="1" prompt="Sales Tax amount is automatically calculated in cell at right" sqref="E31"/>
    <dataValidation allowBlank="1" showInputMessage="1" showErrorMessage="1" prompt="Enter Other amount in cell at right" sqref="E32"/>
    <dataValidation allowBlank="1" showInputMessage="1" showErrorMessage="1" prompt="Total due is automatically calculated in this cell" sqref="F31:F32"/>
    <dataValidation allowBlank="1" showInputMessage="1" showErrorMessage="1" prompt="Total due is automatically calculated in cell at right" sqref="E33:E34"/>
    <dataValidation allowBlank="1" showInputMessage="1" showErrorMessage="1" prompt="Create a Price quote with tax calculation in this worksheet. Enter company, customer, quotation, shipping, and product details. Total due is automatically calculated" sqref="A1"/>
    <dataValidation allowBlank="1" showInputMessage="1" showErrorMessage="1" prompt="Enter 'T' for taxable items in this column under this heading" sqref="E11"/>
    <dataValidation allowBlank="1" showInputMessage="1" showErrorMessage="1" prompt="Amount is automatically calculated in this column under this heading and Subtotal is automatically calculated at the end of the table" sqref="F11"/>
    <dataValidation allowBlank="1" showInputMessage="1" showErrorMessage="1" prompt="Enter Unit Price in this column under this heading" sqref="D11"/>
    <dataValidation allowBlank="1" showInputMessage="1" showErrorMessage="1" prompt="Enter Description in this column under this heading" sqref="C11"/>
    <dataValidation allowBlank="1" showInputMessage="1" showErrorMessage="1" prompt="Enter Quantity in this column under this heading" sqref="B11"/>
    <dataValidation allowBlank="1" showInputMessage="1" showErrorMessage="1" prompt="Enter Comments or Special Instructions in cell at right" sqref="B10"/>
    <dataValidation allowBlank="1" showInputMessage="1" showErrorMessage="1" prompt="Enter customer Name, Company Name, Street Address, and Phone number in cells below, from cell B8 through B12, Quotation end date in cell G7 and Prepared by name in cell G8" sqref="B4:C4"/>
    <dataValidation allowBlank="1" showInputMessage="1" showErrorMessage="1" prompt="Enter company Phone and Fax numbers in this cell" sqref="B3:C3"/>
  </dataValidations>
  <printOptions horizontalCentered="1"/>
  <pageMargins left="0.7" right="0.7" top="0.75" bottom="0.75" header="0.3" footer="0.3"/>
  <pageSetup paperSize="9" scale="7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8194" r:id="rId4" name="cmdRevise">
          <controlPr defaultSize="0" disabled="1" autoLine="0" r:id="rId5">
            <anchor moveWithCells="1">
              <from>
                <xdr:col>7</xdr:col>
                <xdr:colOff>304800</xdr:colOff>
                <xdr:row>6</xdr:row>
                <xdr:rowOff>390525</xdr:rowOff>
              </from>
              <to>
                <xdr:col>9</xdr:col>
                <xdr:colOff>361950</xdr:colOff>
                <xdr:row>8</xdr:row>
                <xdr:rowOff>28575</xdr:rowOff>
              </to>
            </anchor>
          </controlPr>
        </control>
      </mc:Choice>
      <mc:Fallback>
        <control shapeId="8194" r:id="rId4" name="cmdRevise"/>
      </mc:Fallback>
    </mc:AlternateContent>
    <mc:AlternateContent xmlns:mc="http://schemas.openxmlformats.org/markup-compatibility/2006">
      <mc:Choice Requires="x14">
        <control shapeId="8193" r:id="rId6" name="cmdSendtoDash">
          <controlPr defaultSize="0" autoLine="0" r:id="rId7">
            <anchor moveWithCells="1">
              <from>
                <xdr:col>7</xdr:col>
                <xdr:colOff>304800</xdr:colOff>
                <xdr:row>2</xdr:row>
                <xdr:rowOff>180975</xdr:rowOff>
              </from>
              <to>
                <xdr:col>9</xdr:col>
                <xdr:colOff>361950</xdr:colOff>
                <xdr:row>3</xdr:row>
                <xdr:rowOff>123825</xdr:rowOff>
              </to>
            </anchor>
          </controlPr>
        </control>
      </mc:Choice>
      <mc:Fallback>
        <control shapeId="8193" r:id="rId6" name="cmdSendtoDas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6"/>
    <pageSetUpPr fitToPage="1"/>
  </sheetPr>
  <dimension ref="A1:M213"/>
  <sheetViews>
    <sheetView showGridLines="0" zoomScale="85" zoomScaleNormal="85" zoomScaleSheetLayoutView="100" zoomScalePageLayoutView="55" workbookViewId="0">
      <selection activeCell="C15" sqref="C15"/>
    </sheetView>
  </sheetViews>
  <sheetFormatPr defaultRowHeight="30" customHeight="1"/>
  <cols>
    <col min="1" max="1" width="2.125" style="30" customWidth="1"/>
    <col min="2" max="2" width="19.5" style="30" customWidth="1"/>
    <col min="3" max="3" width="32.375" style="30" customWidth="1"/>
    <col min="4" max="4" width="12.125" style="30" bestFit="1" customWidth="1"/>
    <col min="5" max="6" width="19.125" style="30" customWidth="1"/>
    <col min="7" max="7" width="2.25" style="30" customWidth="1"/>
    <col min="8" max="8" width="13.75" style="112" bestFit="1" customWidth="1"/>
    <col min="9" max="10" width="9" style="112"/>
    <col min="11" max="16384" width="9" style="2"/>
  </cols>
  <sheetData>
    <row r="1" spans="1:13" ht="45.75" customHeight="1">
      <c r="A1" s="29"/>
      <c r="B1" s="236" t="s">
        <v>6</v>
      </c>
      <c r="C1" s="236"/>
      <c r="D1" s="236"/>
      <c r="K1" s="15"/>
    </row>
    <row r="2" spans="1:13" ht="31.5" customHeight="1">
      <c r="B2" s="238" t="s">
        <v>9</v>
      </c>
      <c r="C2" s="238"/>
      <c r="D2" s="238"/>
      <c r="E2" s="31"/>
      <c r="K2" s="15"/>
    </row>
    <row r="3" spans="1:13" ht="30" customHeight="1">
      <c r="B3" s="237" t="s">
        <v>8</v>
      </c>
      <c r="C3" s="237"/>
      <c r="D3" s="237"/>
      <c r="E3" s="243"/>
      <c r="F3" s="243"/>
      <c r="H3" s="147">
        <v>1</v>
      </c>
      <c r="I3" s="113"/>
      <c r="J3" s="114"/>
      <c r="K3" s="15"/>
    </row>
    <row r="4" spans="1:13" ht="15" customHeight="1">
      <c r="B4" s="244" t="s">
        <v>390</v>
      </c>
      <c r="C4" s="244"/>
      <c r="D4" s="244"/>
      <c r="E4" s="32"/>
      <c r="F4" s="33"/>
      <c r="H4" s="115"/>
      <c r="I4" s="116"/>
      <c r="J4" s="117"/>
      <c r="K4" s="15"/>
    </row>
    <row r="5" spans="1:13" ht="15.75">
      <c r="B5" s="34" t="s">
        <v>191</v>
      </c>
      <c r="C5" s="35" t="s">
        <v>464</v>
      </c>
      <c r="D5" s="149"/>
      <c r="E5" s="37" t="s">
        <v>192</v>
      </c>
      <c r="F5" s="111" t="s">
        <v>473</v>
      </c>
      <c r="H5" s="240" t="s">
        <v>161</v>
      </c>
      <c r="I5" s="241"/>
      <c r="J5" s="242"/>
      <c r="K5" s="15"/>
    </row>
    <row r="6" spans="1:13" ht="15">
      <c r="B6" s="38" t="s">
        <v>193</v>
      </c>
      <c r="C6" s="245" t="s">
        <v>474</v>
      </c>
      <c r="D6" s="245"/>
      <c r="E6" s="37" t="s">
        <v>194</v>
      </c>
      <c r="F6" s="39">
        <f>F8+90</f>
        <v>43626</v>
      </c>
      <c r="H6" s="240"/>
      <c r="I6" s="241"/>
      <c r="J6" s="242"/>
      <c r="K6" s="15"/>
    </row>
    <row r="7" spans="1:13" ht="39" customHeight="1">
      <c r="B7" s="40" t="s">
        <v>195</v>
      </c>
      <c r="C7" s="246" t="s">
        <v>466</v>
      </c>
      <c r="D7" s="246"/>
      <c r="E7" s="40"/>
      <c r="F7" s="41"/>
      <c r="H7" s="240"/>
      <c r="I7" s="241"/>
      <c r="J7" s="242"/>
      <c r="K7" s="15"/>
    </row>
    <row r="8" spans="1:13" ht="15">
      <c r="B8" s="42" t="s">
        <v>10</v>
      </c>
      <c r="C8" s="247" t="s">
        <v>482</v>
      </c>
      <c r="D8" s="247"/>
      <c r="E8" s="43" t="s">
        <v>14</v>
      </c>
      <c r="F8" s="39">
        <v>43536</v>
      </c>
      <c r="H8" s="115"/>
      <c r="I8" s="116"/>
      <c r="J8" s="117"/>
      <c r="K8" s="15"/>
    </row>
    <row r="9" spans="1:13" ht="15">
      <c r="B9" s="44" t="s">
        <v>196</v>
      </c>
      <c r="C9" s="246"/>
      <c r="D9" s="246"/>
      <c r="H9" s="118"/>
      <c r="I9" s="119"/>
      <c r="J9" s="120"/>
      <c r="K9" s="15"/>
    </row>
    <row r="10" spans="1:13" ht="15" customHeight="1">
      <c r="B10" s="248"/>
      <c r="C10" s="248"/>
      <c r="D10" s="248"/>
      <c r="E10" s="248"/>
      <c r="F10" s="248"/>
      <c r="H10" s="20"/>
      <c r="I10" s="239"/>
      <c r="J10" s="239"/>
      <c r="K10" s="15"/>
    </row>
    <row r="11" spans="1:13" ht="23.25" customHeight="1">
      <c r="B11" s="45" t="s">
        <v>0</v>
      </c>
      <c r="C11" s="45" t="s">
        <v>1</v>
      </c>
      <c r="D11" s="45" t="s">
        <v>11</v>
      </c>
      <c r="E11" s="45" t="s">
        <v>2</v>
      </c>
      <c r="F11" s="45" t="s">
        <v>3</v>
      </c>
      <c r="H11" s="235" t="s">
        <v>461</v>
      </c>
      <c r="I11" s="235"/>
      <c r="J11" s="235"/>
      <c r="K11" s="235"/>
    </row>
    <row r="12" spans="1:13" ht="18" customHeight="1">
      <c r="B12" s="46">
        <v>1</v>
      </c>
      <c r="C12" s="30" t="s">
        <v>475</v>
      </c>
      <c r="D12" s="47" t="s">
        <v>478</v>
      </c>
      <c r="E12" s="48">
        <v>500</v>
      </c>
      <c r="F12" s="49">
        <f>IFERROR(IF(Quotation104[[#This Row],[QUANTITY]],Quotation104[[#This Row],[QUANTITY]]*Quotation104[[#This Row],[UNIT PRICE]],""),"")</f>
        <v>500</v>
      </c>
      <c r="H12" s="235"/>
      <c r="I12" s="235"/>
      <c r="J12" s="235"/>
      <c r="K12" s="235"/>
    </row>
    <row r="13" spans="1:13" ht="15">
      <c r="B13" s="46"/>
      <c r="C13" s="30" t="s">
        <v>476</v>
      </c>
      <c r="D13" s="47"/>
      <c r="E13" s="48"/>
      <c r="F13" s="49" t="str">
        <f>IFERROR(IF(Quotation104[[#This Row],[QUANTITY]],Quotation104[[#This Row],[QUANTITY]]*Quotation104[[#This Row],[UNIT PRICE]],""),"")</f>
        <v/>
      </c>
      <c r="H13" s="235"/>
      <c r="I13" s="235"/>
      <c r="J13" s="235"/>
      <c r="K13" s="235"/>
    </row>
    <row r="14" spans="1:13">
      <c r="B14" s="46"/>
      <c r="C14" s="30" t="s">
        <v>477</v>
      </c>
      <c r="D14" s="47"/>
      <c r="E14" s="48"/>
      <c r="F14" s="49" t="str">
        <f>IFERROR(IF(Quotation104[[#This Row],[QUANTITY]],Quotation104[[#This Row],[QUANTITY]]*Quotation104[[#This Row],[UNIT PRICE]],""),"")</f>
        <v/>
      </c>
      <c r="H14" s="235"/>
      <c r="I14" s="235"/>
      <c r="J14" s="235"/>
      <c r="K14" s="235"/>
    </row>
    <row r="15" spans="1:13" ht="19.5" customHeight="1">
      <c r="B15" s="46"/>
      <c r="C15" s="50"/>
      <c r="D15" s="47"/>
      <c r="E15" s="48"/>
      <c r="F15" s="49" t="str">
        <f>IFERROR(IF(Quotation104[[#This Row],[QUANTITY]],Quotation104[[#This Row],[QUANTITY]]*Quotation104[[#This Row],[UNIT PRICE]],""),"")</f>
        <v/>
      </c>
      <c r="H15" s="235"/>
      <c r="I15" s="235"/>
      <c r="J15" s="235"/>
      <c r="K15" s="235"/>
      <c r="L15" s="140"/>
      <c r="M15" s="140"/>
    </row>
    <row r="16" spans="1:13" ht="19.5" customHeight="1">
      <c r="B16" s="46"/>
      <c r="C16" s="50"/>
      <c r="D16" s="47"/>
      <c r="E16" s="48"/>
      <c r="F16" s="49" t="str">
        <f>IFERROR(IF(Quotation104[[#This Row],[QUANTITY]],Quotation104[[#This Row],[QUANTITY]]*Quotation104[[#This Row],[UNIT PRICE]],""),"")</f>
        <v/>
      </c>
      <c r="H16" s="235"/>
      <c r="I16" s="235"/>
      <c r="J16" s="235"/>
      <c r="K16" s="235"/>
      <c r="L16" s="140"/>
      <c r="M16" s="140"/>
    </row>
    <row r="17" spans="2:11" ht="19.5" customHeight="1">
      <c r="B17" s="46"/>
      <c r="C17" s="50"/>
      <c r="D17" s="47"/>
      <c r="E17" s="48"/>
      <c r="F17" s="49" t="str">
        <f>IFERROR(IF(Quotation104[[#This Row],[QUANTITY]],Quotation104[[#This Row],[QUANTITY]]*Quotation104[[#This Row],[UNIT PRICE]],""),"")</f>
        <v/>
      </c>
      <c r="H17" s="235"/>
      <c r="I17" s="235"/>
      <c r="J17" s="235"/>
      <c r="K17" s="235"/>
    </row>
    <row r="18" spans="2:11" ht="19.5" customHeight="1">
      <c r="B18" s="46"/>
      <c r="C18" s="50"/>
      <c r="D18" s="47"/>
      <c r="E18" s="48"/>
      <c r="F18" s="49" t="str">
        <f>IFERROR(IF(Quotation104[[#This Row],[QUANTITY]],Quotation104[[#This Row],[QUANTITY]]*Quotation104[[#This Row],[UNIT PRICE]],""),"")</f>
        <v/>
      </c>
      <c r="H18" s="235"/>
      <c r="I18" s="235"/>
      <c r="J18" s="235"/>
      <c r="K18" s="235"/>
    </row>
    <row r="19" spans="2:11" ht="19.5" customHeight="1">
      <c r="B19" s="46"/>
      <c r="C19" s="50"/>
      <c r="D19" s="47"/>
      <c r="E19" s="48"/>
      <c r="F19" s="49" t="str">
        <f>IFERROR(IF(Quotation104[[#This Row],[QUANTITY]],Quotation104[[#This Row],[QUANTITY]]*Quotation104[[#This Row],[UNIT PRICE]],""),"")</f>
        <v/>
      </c>
      <c r="H19" s="235"/>
      <c r="I19" s="235"/>
      <c r="J19" s="235"/>
      <c r="K19" s="235"/>
    </row>
    <row r="20" spans="2:11" ht="19.5" customHeight="1">
      <c r="B20" s="46"/>
      <c r="C20" s="50"/>
      <c r="D20" s="47"/>
      <c r="E20" s="48"/>
      <c r="F20" s="49" t="str">
        <f>IFERROR(IF(Quotation104[[#This Row],[QUANTITY]],Quotation104[[#This Row],[QUANTITY]]*Quotation104[[#This Row],[UNIT PRICE]],""),"")</f>
        <v/>
      </c>
      <c r="H20" s="235"/>
      <c r="I20" s="235"/>
      <c r="J20" s="235"/>
      <c r="K20" s="235"/>
    </row>
    <row r="21" spans="2:11" ht="19.5" customHeight="1">
      <c r="B21" s="46"/>
      <c r="D21" s="47"/>
      <c r="E21" s="48"/>
      <c r="F21" s="49" t="str">
        <f>IFERROR(IF(Quotation104[[#This Row],[QUANTITY]],Quotation104[[#This Row],[QUANTITY]]*Quotation104[[#This Row],[UNIT PRICE]],""),"")</f>
        <v/>
      </c>
      <c r="H21" s="235"/>
      <c r="I21" s="235"/>
      <c r="J21" s="235"/>
      <c r="K21" s="235"/>
    </row>
    <row r="22" spans="2:11" ht="19.5" customHeight="1">
      <c r="B22" s="46"/>
      <c r="C22" s="50"/>
      <c r="D22" s="47"/>
      <c r="E22" s="48"/>
      <c r="F22" s="49" t="str">
        <f>IFERROR(IF(Quotation104[[#This Row],[QUANTITY]],Quotation104[[#This Row],[QUANTITY]]*Quotation104[[#This Row],[UNIT PRICE]],""),"")</f>
        <v/>
      </c>
      <c r="H22" s="235"/>
      <c r="I22" s="235"/>
      <c r="J22" s="235"/>
      <c r="K22" s="235"/>
    </row>
    <row r="23" spans="2:11" ht="19.5" customHeight="1">
      <c r="B23" s="46"/>
      <c r="C23" s="50"/>
      <c r="D23" s="47"/>
      <c r="E23" s="48"/>
      <c r="F23" s="49" t="str">
        <f>IFERROR(IF(Quotation104[[#This Row],[QUANTITY]],Quotation104[[#This Row],[QUANTITY]]*Quotation104[[#This Row],[UNIT PRICE]],""),"")</f>
        <v/>
      </c>
      <c r="H23" s="235"/>
      <c r="I23" s="235"/>
      <c r="J23" s="235"/>
      <c r="K23" s="235"/>
    </row>
    <row r="24" spans="2:11" ht="19.5" customHeight="1">
      <c r="B24" s="46"/>
      <c r="C24" s="50"/>
      <c r="D24" s="47"/>
      <c r="E24" s="48"/>
      <c r="F24" s="49" t="str">
        <f>IFERROR(IF(Quotation104[[#This Row],[QUANTITY]],Quotation104[[#This Row],[QUANTITY]]*Quotation104[[#This Row],[UNIT PRICE]],""),"")</f>
        <v/>
      </c>
      <c r="H24" s="235"/>
      <c r="I24" s="235"/>
      <c r="J24" s="235"/>
      <c r="K24" s="235"/>
    </row>
    <row r="25" spans="2:11" ht="19.5" customHeight="1">
      <c r="B25" s="46"/>
      <c r="C25" s="50"/>
      <c r="D25" s="47"/>
      <c r="E25" s="48"/>
      <c r="F25" s="49" t="str">
        <f>IFERROR(IF(Quotation104[[#This Row],[QUANTITY]],Quotation104[[#This Row],[QUANTITY]]*Quotation104[[#This Row],[UNIT PRICE]],""),"")</f>
        <v/>
      </c>
      <c r="H25" s="235"/>
      <c r="I25" s="235"/>
      <c r="J25" s="235"/>
      <c r="K25" s="235"/>
    </row>
    <row r="26" spans="2:11" ht="19.5" customHeight="1">
      <c r="B26" s="46"/>
      <c r="C26" s="50"/>
      <c r="D26" s="47"/>
      <c r="E26" s="48"/>
      <c r="F26" s="49" t="str">
        <f>IFERROR(IF(Quotation104[[#This Row],[QUANTITY]],Quotation104[[#This Row],[QUANTITY]]*Quotation104[[#This Row],[UNIT PRICE]],""),"")</f>
        <v/>
      </c>
      <c r="H26" s="235"/>
      <c r="I26" s="235"/>
      <c r="J26" s="235"/>
      <c r="K26" s="235"/>
    </row>
    <row r="27" spans="2:11" ht="19.5" customHeight="1">
      <c r="B27" s="46"/>
      <c r="C27" s="50"/>
      <c r="D27" s="47"/>
      <c r="E27" s="48"/>
      <c r="F27" s="49" t="str">
        <f>IFERROR(IF(Quotation104[[#This Row],[QUANTITY]],Quotation104[[#This Row],[QUANTITY]]*Quotation104[[#This Row],[UNIT PRICE]],""),"")</f>
        <v/>
      </c>
      <c r="H27" s="235"/>
      <c r="I27" s="235"/>
      <c r="J27" s="235"/>
      <c r="K27" s="235"/>
    </row>
    <row r="28" spans="2:11" ht="19.5" customHeight="1">
      <c r="B28" s="46"/>
      <c r="D28" s="47"/>
      <c r="E28" s="48"/>
      <c r="F28" s="49" t="str">
        <f>IFERROR(IF(Quotation104[[#This Row],[QUANTITY]],Quotation104[[#This Row],[QUANTITY]]*Quotation104[[#This Row],[UNIT PRICE]],""),"")</f>
        <v/>
      </c>
      <c r="H28" s="235"/>
      <c r="I28" s="235"/>
      <c r="J28" s="235"/>
      <c r="K28" s="235"/>
    </row>
    <row r="29" spans="2:11" ht="19.5" customHeight="1">
      <c r="B29" s="150"/>
      <c r="C29" s="150"/>
      <c r="D29" s="150"/>
      <c r="E29" s="151" t="s">
        <v>214</v>
      </c>
      <c r="F29" s="152">
        <f>IFERROR(IF(B12,SUM(Quotation104[AMOUNT]),""),"")</f>
        <v>500</v>
      </c>
      <c r="H29" s="121" t="s">
        <v>384</v>
      </c>
      <c r="I29" s="234" t="str">
        <f>B41</f>
        <v>Ryan Maniego</v>
      </c>
      <c r="J29" s="234"/>
      <c r="K29" s="15"/>
    </row>
    <row r="30" spans="2:11" ht="19.5" customHeight="1">
      <c r="E30" s="53" t="s">
        <v>7</v>
      </c>
      <c r="F30" s="54">
        <f>Quotation104[[#Totals],[AMOUNT]]*(H30/100)</f>
        <v>0</v>
      </c>
      <c r="H30" s="122">
        <v>0</v>
      </c>
      <c r="I30" s="261" t="s">
        <v>154</v>
      </c>
      <c r="J30" s="261"/>
      <c r="K30" s="15"/>
    </row>
    <row r="31" spans="2:11" ht="19.5" customHeight="1">
      <c r="B31" s="55" t="s">
        <v>197</v>
      </c>
      <c r="C31" s="31"/>
      <c r="E31" s="53" t="s">
        <v>41</v>
      </c>
      <c r="F31" s="56">
        <f>Quotation104[[#Totals],[AMOUNT]]-F30</f>
        <v>500</v>
      </c>
      <c r="H31" s="123">
        <f>F42</f>
        <v>0</v>
      </c>
      <c r="I31" s="262">
        <f>F31</f>
        <v>500</v>
      </c>
      <c r="J31" s="263"/>
      <c r="K31" s="15"/>
    </row>
    <row r="32" spans="2:11" ht="13.5" customHeight="1">
      <c r="B32" s="43" t="s">
        <v>198</v>
      </c>
      <c r="C32" s="50" t="s">
        <v>479</v>
      </c>
      <c r="E32" s="57"/>
      <c r="F32" s="58"/>
      <c r="H32" s="20"/>
      <c r="I32" s="20"/>
      <c r="J32" s="20"/>
      <c r="K32" s="15"/>
    </row>
    <row r="33" spans="1:13" ht="15">
      <c r="B33" s="43"/>
      <c r="C33" s="50"/>
      <c r="E33" s="57"/>
      <c r="H33" s="20"/>
      <c r="I33" s="233"/>
      <c r="J33" s="233"/>
      <c r="K33" s="15"/>
    </row>
    <row r="34" spans="1:13" ht="15">
      <c r="B34" s="43"/>
      <c r="C34" s="50"/>
      <c r="E34" s="57"/>
      <c r="H34" s="20"/>
      <c r="I34" s="20"/>
      <c r="J34" s="20"/>
      <c r="K34" s="15"/>
    </row>
    <row r="35" spans="1:13" ht="13.5" customHeight="1">
      <c r="B35" s="43"/>
      <c r="C35" s="110"/>
      <c r="H35" s="20"/>
      <c r="I35" s="20"/>
      <c r="J35" s="20"/>
      <c r="K35" s="15"/>
    </row>
    <row r="36" spans="1:13" ht="13.5" customHeight="1">
      <c r="B36" s="43" t="s">
        <v>203</v>
      </c>
      <c r="C36" s="50" t="s">
        <v>480</v>
      </c>
      <c r="K36" s="15"/>
    </row>
    <row r="37" spans="1:13" ht="13.5" customHeight="1">
      <c r="B37" s="43" t="s">
        <v>205</v>
      </c>
      <c r="C37" s="30" t="s">
        <v>470</v>
      </c>
      <c r="K37" s="15"/>
    </row>
    <row r="38" spans="1:13" ht="13.5" customHeight="1">
      <c r="B38" s="43"/>
      <c r="C38" s="59"/>
      <c r="K38" s="15"/>
    </row>
    <row r="39" spans="1:13" ht="13.5" customHeight="1">
      <c r="K39" s="15"/>
    </row>
    <row r="40" spans="1:13" ht="13.5" customHeight="1">
      <c r="B40" s="60"/>
      <c r="C40" s="61"/>
      <c r="D40" s="60" t="s">
        <v>208</v>
      </c>
      <c r="E40" s="62"/>
      <c r="F40" s="63"/>
      <c r="G40" s="64"/>
      <c r="K40" s="15"/>
    </row>
    <row r="41" spans="1:13" ht="37.5" customHeight="1">
      <c r="A41" s="65"/>
      <c r="B41" s="66" t="s">
        <v>472</v>
      </c>
      <c r="C41" s="67" t="s">
        <v>152</v>
      </c>
      <c r="D41" s="68"/>
      <c r="E41" s="69"/>
      <c r="F41" s="70"/>
      <c r="G41" s="64"/>
      <c r="K41" s="15"/>
    </row>
    <row r="42" spans="1:13" ht="14.25" customHeight="1">
      <c r="A42" s="65"/>
      <c r="B42" s="71" t="s">
        <v>16</v>
      </c>
      <c r="C42" s="72" t="s">
        <v>153</v>
      </c>
      <c r="D42" s="249" t="str">
        <f>C5</f>
        <v>Metro Parking Management Phils., Inc.</v>
      </c>
      <c r="E42" s="250"/>
      <c r="F42" s="251"/>
      <c r="G42" s="64"/>
      <c r="K42" s="15"/>
    </row>
    <row r="43" spans="1:13" ht="20.25" customHeight="1">
      <c r="A43" s="73"/>
      <c r="B43" s="73"/>
      <c r="C43" s="74"/>
      <c r="D43" s="75"/>
      <c r="E43" s="76"/>
      <c r="F43" s="74"/>
      <c r="G43" s="76"/>
      <c r="K43" s="15"/>
    </row>
    <row r="44" spans="1:13" ht="15">
      <c r="A44" s="73"/>
      <c r="B44" s="73"/>
      <c r="C44" s="74"/>
      <c r="D44" s="75"/>
      <c r="E44" s="76"/>
      <c r="F44" s="74"/>
      <c r="G44" s="76"/>
      <c r="K44" s="15"/>
    </row>
    <row r="45" spans="1:13" ht="15">
      <c r="A45" s="73"/>
      <c r="B45" s="77" t="s">
        <v>209</v>
      </c>
      <c r="C45" s="78"/>
      <c r="D45" s="79"/>
      <c r="E45" s="80"/>
      <c r="F45" s="81"/>
      <c r="G45" s="76"/>
      <c r="K45" s="15"/>
    </row>
    <row r="46" spans="1:13" ht="15">
      <c r="A46" s="76"/>
      <c r="B46" s="82" t="s">
        <v>210</v>
      </c>
      <c r="C46" s="83"/>
      <c r="D46" s="84"/>
      <c r="E46" s="85"/>
      <c r="F46" s="86"/>
      <c r="G46" s="87"/>
      <c r="K46" s="15"/>
    </row>
    <row r="47" spans="1:13" ht="15">
      <c r="A47" s="76"/>
      <c r="B47" s="82" t="s">
        <v>211</v>
      </c>
      <c r="C47" s="83"/>
      <c r="D47" s="84"/>
      <c r="E47" s="85"/>
      <c r="F47" s="86"/>
      <c r="G47" s="87"/>
      <c r="H47" s="124"/>
      <c r="I47" s="125"/>
      <c r="J47" s="125"/>
      <c r="K47" s="126"/>
      <c r="L47" s="30"/>
      <c r="M47" s="30"/>
    </row>
    <row r="48" spans="1:13" ht="15">
      <c r="A48" s="88"/>
      <c r="B48" s="89">
        <f ca="1">TODAY()</f>
        <v>43543</v>
      </c>
      <c r="C48" s="90"/>
      <c r="D48" s="91"/>
      <c r="E48" s="92"/>
      <c r="F48" s="93"/>
      <c r="G48" s="87"/>
      <c r="H48" s="124"/>
      <c r="I48" s="125"/>
      <c r="J48" s="125"/>
      <c r="K48" s="127" t="s">
        <v>245</v>
      </c>
      <c r="L48" s="30"/>
      <c r="M48" s="30"/>
    </row>
    <row r="49" spans="1:13" ht="15">
      <c r="A49" s="88"/>
      <c r="B49" s="76"/>
      <c r="C49" s="74"/>
      <c r="D49" s="75"/>
      <c r="E49" s="76"/>
      <c r="F49" s="74"/>
      <c r="G49" s="87"/>
      <c r="H49" s="124"/>
      <c r="I49" s="125"/>
      <c r="J49" s="125"/>
      <c r="K49" s="128">
        <f>SUM(K50:K65)</f>
        <v>9228</v>
      </c>
      <c r="L49" s="30"/>
      <c r="M49" s="30"/>
    </row>
    <row r="50" spans="1:13" ht="15">
      <c r="A50" s="94"/>
      <c r="B50" s="252" t="s">
        <v>212</v>
      </c>
      <c r="C50" s="253"/>
      <c r="D50" s="95" t="s">
        <v>213</v>
      </c>
      <c r="E50" s="95" t="s">
        <v>2</v>
      </c>
      <c r="F50" s="96" t="s">
        <v>214</v>
      </c>
      <c r="G50" s="97"/>
      <c r="H50" s="127" t="s">
        <v>385</v>
      </c>
      <c r="I50" s="127" t="s">
        <v>386</v>
      </c>
      <c r="J50" s="127" t="s">
        <v>387</v>
      </c>
      <c r="K50" s="127" t="s">
        <v>388</v>
      </c>
      <c r="L50" s="30"/>
      <c r="M50" s="30"/>
    </row>
    <row r="51" spans="1:13" ht="15">
      <c r="A51" s="98"/>
      <c r="B51" s="99" t="s">
        <v>215</v>
      </c>
      <c r="C51" s="100" t="s">
        <v>216</v>
      </c>
      <c r="D51" s="101">
        <v>1</v>
      </c>
      <c r="E51" s="102">
        <f>H51*I51*J51</f>
        <v>93000</v>
      </c>
      <c r="F51" s="102">
        <f>E51*D51</f>
        <v>93000</v>
      </c>
      <c r="G51" s="103"/>
      <c r="H51" s="129">
        <v>750</v>
      </c>
      <c r="I51" s="130">
        <v>62</v>
      </c>
      <c r="J51" s="131">
        <v>2</v>
      </c>
      <c r="K51" s="132">
        <f>H51*D51</f>
        <v>750</v>
      </c>
      <c r="L51" s="30"/>
      <c r="M51" s="30"/>
    </row>
    <row r="52" spans="1:13" ht="165">
      <c r="A52" s="98"/>
      <c r="B52" s="99" t="s">
        <v>217</v>
      </c>
      <c r="C52" s="100" t="s">
        <v>218</v>
      </c>
      <c r="D52" s="101">
        <v>1</v>
      </c>
      <c r="E52" s="102">
        <f t="shared" ref="E52:E64" si="0">H52*I52*J52</f>
        <v>247380</v>
      </c>
      <c r="F52" s="102">
        <f t="shared" ref="F52:F65" si="1">E52*D52</f>
        <v>247380</v>
      </c>
      <c r="G52" s="103"/>
      <c r="H52" s="129">
        <v>1995</v>
      </c>
      <c r="I52" s="130">
        <v>62</v>
      </c>
      <c r="J52" s="131">
        <v>2</v>
      </c>
      <c r="K52" s="132">
        <f t="shared" ref="K52:K65" si="2">H52*D52</f>
        <v>1995</v>
      </c>
      <c r="L52" s="30"/>
      <c r="M52" s="30"/>
    </row>
    <row r="53" spans="1:13" ht="105">
      <c r="A53" s="98"/>
      <c r="B53" s="99" t="s">
        <v>219</v>
      </c>
      <c r="C53" s="100" t="s">
        <v>220</v>
      </c>
      <c r="D53" s="101">
        <v>1</v>
      </c>
      <c r="E53" s="102">
        <f t="shared" si="0"/>
        <v>37200</v>
      </c>
      <c r="F53" s="102">
        <f t="shared" si="1"/>
        <v>37200</v>
      </c>
      <c r="G53" s="103"/>
      <c r="H53" s="129">
        <v>300</v>
      </c>
      <c r="I53" s="130">
        <v>62</v>
      </c>
      <c r="J53" s="131">
        <v>2</v>
      </c>
      <c r="K53" s="132">
        <f t="shared" si="2"/>
        <v>300</v>
      </c>
      <c r="L53" s="30"/>
      <c r="M53" s="30"/>
    </row>
    <row r="54" spans="1:13">
      <c r="A54" s="98"/>
      <c r="B54" s="99" t="s">
        <v>221</v>
      </c>
      <c r="C54" s="100" t="s">
        <v>222</v>
      </c>
      <c r="D54" s="101">
        <v>1</v>
      </c>
      <c r="E54" s="102">
        <f t="shared" si="0"/>
        <v>84320</v>
      </c>
      <c r="F54" s="102">
        <f t="shared" si="1"/>
        <v>84320</v>
      </c>
      <c r="G54" s="103"/>
      <c r="H54" s="129">
        <v>1360</v>
      </c>
      <c r="I54" s="130">
        <v>62</v>
      </c>
      <c r="J54" s="131">
        <v>1</v>
      </c>
      <c r="K54" s="132">
        <f t="shared" si="2"/>
        <v>1360</v>
      </c>
      <c r="L54" s="30"/>
      <c r="M54" s="30"/>
    </row>
    <row r="55" spans="1:13" ht="75">
      <c r="A55" s="98"/>
      <c r="B55" s="99" t="s">
        <v>223</v>
      </c>
      <c r="C55" s="100" t="s">
        <v>224</v>
      </c>
      <c r="D55" s="101">
        <v>1</v>
      </c>
      <c r="E55" s="102">
        <f t="shared" si="0"/>
        <v>89280</v>
      </c>
      <c r="F55" s="102">
        <f t="shared" si="1"/>
        <v>89280</v>
      </c>
      <c r="G55" s="103"/>
      <c r="H55" s="129">
        <v>1440</v>
      </c>
      <c r="I55" s="130">
        <v>62</v>
      </c>
      <c r="J55" s="131">
        <v>1</v>
      </c>
      <c r="K55" s="132">
        <f t="shared" si="2"/>
        <v>1440</v>
      </c>
      <c r="L55" s="30"/>
      <c r="M55" s="30"/>
    </row>
    <row r="56" spans="1:13">
      <c r="A56" s="98"/>
      <c r="B56" s="99" t="s">
        <v>225</v>
      </c>
      <c r="C56" s="100" t="s">
        <v>226</v>
      </c>
      <c r="D56" s="101">
        <v>1</v>
      </c>
      <c r="E56" s="102">
        <f t="shared" si="0"/>
        <v>21824</v>
      </c>
      <c r="F56" s="102">
        <f t="shared" si="1"/>
        <v>21824</v>
      </c>
      <c r="G56" s="103"/>
      <c r="H56" s="129">
        <v>352</v>
      </c>
      <c r="I56" s="130">
        <v>62</v>
      </c>
      <c r="J56" s="131">
        <v>1</v>
      </c>
      <c r="K56" s="132">
        <f t="shared" si="2"/>
        <v>352</v>
      </c>
      <c r="L56" s="30"/>
      <c r="M56" s="30"/>
    </row>
    <row r="57" spans="1:13" ht="15">
      <c r="A57" s="98"/>
      <c r="B57" s="99" t="s">
        <v>227</v>
      </c>
      <c r="C57" s="100" t="s">
        <v>228</v>
      </c>
      <c r="D57" s="101">
        <v>1</v>
      </c>
      <c r="E57" s="102">
        <f t="shared" si="0"/>
        <v>27900</v>
      </c>
      <c r="F57" s="102">
        <f t="shared" si="1"/>
        <v>27900</v>
      </c>
      <c r="G57" s="103"/>
      <c r="H57" s="129">
        <v>300</v>
      </c>
      <c r="I57" s="130">
        <v>62</v>
      </c>
      <c r="J57" s="131">
        <v>1.5</v>
      </c>
      <c r="K57" s="132">
        <f t="shared" si="2"/>
        <v>300</v>
      </c>
      <c r="L57" s="30"/>
      <c r="M57" s="30"/>
    </row>
    <row r="58" spans="1:13" ht="15">
      <c r="A58" s="98"/>
      <c r="B58" s="99" t="s">
        <v>229</v>
      </c>
      <c r="C58" s="100" t="s">
        <v>230</v>
      </c>
      <c r="D58" s="101">
        <v>1</v>
      </c>
      <c r="E58" s="102">
        <f t="shared" si="0"/>
        <v>39308</v>
      </c>
      <c r="F58" s="102">
        <f t="shared" si="1"/>
        <v>39308</v>
      </c>
      <c r="G58" s="103"/>
      <c r="H58" s="129">
        <v>634</v>
      </c>
      <c r="I58" s="130">
        <v>62</v>
      </c>
      <c r="J58" s="131">
        <v>1</v>
      </c>
      <c r="K58" s="132">
        <f t="shared" si="2"/>
        <v>634</v>
      </c>
      <c r="L58" s="30"/>
      <c r="M58" s="30"/>
    </row>
    <row r="59" spans="1:13">
      <c r="A59" s="98"/>
      <c r="B59" s="99" t="s">
        <v>231</v>
      </c>
      <c r="C59" s="100" t="s">
        <v>232</v>
      </c>
      <c r="D59" s="101">
        <v>1</v>
      </c>
      <c r="E59" s="102">
        <f t="shared" si="0"/>
        <v>13454</v>
      </c>
      <c r="F59" s="102">
        <f t="shared" si="1"/>
        <v>13454</v>
      </c>
      <c r="G59" s="103"/>
      <c r="H59" s="129">
        <v>217</v>
      </c>
      <c r="I59" s="130">
        <v>62</v>
      </c>
      <c r="J59" s="131">
        <v>1</v>
      </c>
      <c r="K59" s="132">
        <f t="shared" si="2"/>
        <v>217</v>
      </c>
      <c r="L59" s="30"/>
      <c r="M59" s="30"/>
    </row>
    <row r="60" spans="1:13" ht="15">
      <c r="A60" s="98"/>
      <c r="B60" s="99" t="s">
        <v>233</v>
      </c>
      <c r="C60" s="100" t="s">
        <v>234</v>
      </c>
      <c r="D60" s="101">
        <v>1</v>
      </c>
      <c r="E60" s="102">
        <f t="shared" si="0"/>
        <v>2170</v>
      </c>
      <c r="F60" s="102">
        <f t="shared" si="1"/>
        <v>2170</v>
      </c>
      <c r="G60" s="103"/>
      <c r="H60" s="129">
        <v>35</v>
      </c>
      <c r="I60" s="130">
        <v>62</v>
      </c>
      <c r="J60" s="131">
        <v>1</v>
      </c>
      <c r="K60" s="132">
        <f t="shared" si="2"/>
        <v>35</v>
      </c>
      <c r="L60" s="30"/>
      <c r="M60" s="30"/>
    </row>
    <row r="61" spans="1:13" ht="15">
      <c r="A61" s="98"/>
      <c r="B61" s="99" t="s">
        <v>235</v>
      </c>
      <c r="C61" s="100" t="s">
        <v>236</v>
      </c>
      <c r="D61" s="101">
        <v>1</v>
      </c>
      <c r="E61" s="102">
        <f t="shared" si="0"/>
        <v>7626</v>
      </c>
      <c r="F61" s="102">
        <f t="shared" si="1"/>
        <v>7626</v>
      </c>
      <c r="G61" s="103"/>
      <c r="H61" s="129">
        <v>123</v>
      </c>
      <c r="I61" s="130">
        <v>62</v>
      </c>
      <c r="J61" s="131">
        <v>1</v>
      </c>
      <c r="K61" s="132">
        <f t="shared" si="2"/>
        <v>123</v>
      </c>
      <c r="L61" s="30"/>
      <c r="M61" s="30"/>
    </row>
    <row r="62" spans="1:13" ht="15">
      <c r="A62" s="98"/>
      <c r="B62" s="99" t="s">
        <v>237</v>
      </c>
      <c r="C62" s="100" t="s">
        <v>238</v>
      </c>
      <c r="D62" s="101">
        <v>1</v>
      </c>
      <c r="E62" s="102">
        <f t="shared" si="0"/>
        <v>128786.40000000001</v>
      </c>
      <c r="F62" s="102">
        <f t="shared" si="1"/>
        <v>128786.40000000001</v>
      </c>
      <c r="G62" s="103"/>
      <c r="H62" s="129">
        <v>1154</v>
      </c>
      <c r="I62" s="130">
        <v>62</v>
      </c>
      <c r="J62" s="131">
        <v>1.8</v>
      </c>
      <c r="K62" s="132">
        <f t="shared" si="2"/>
        <v>1154</v>
      </c>
      <c r="L62" s="30"/>
      <c r="M62" s="30"/>
    </row>
    <row r="63" spans="1:13">
      <c r="A63" s="98"/>
      <c r="B63" s="99" t="s">
        <v>239</v>
      </c>
      <c r="C63" s="100" t="s">
        <v>240</v>
      </c>
      <c r="D63" s="101">
        <v>1</v>
      </c>
      <c r="E63" s="102">
        <f t="shared" si="0"/>
        <v>14284.800000000001</v>
      </c>
      <c r="F63" s="102">
        <f t="shared" si="1"/>
        <v>14284.800000000001</v>
      </c>
      <c r="G63" s="103"/>
      <c r="H63" s="129">
        <v>128</v>
      </c>
      <c r="I63" s="130">
        <v>62</v>
      </c>
      <c r="J63" s="131">
        <v>1.8</v>
      </c>
      <c r="K63" s="132">
        <f t="shared" si="2"/>
        <v>128</v>
      </c>
      <c r="L63" s="30"/>
      <c r="M63" s="30"/>
    </row>
    <row r="64" spans="1:13">
      <c r="A64" s="98"/>
      <c r="B64" s="99" t="s">
        <v>241</v>
      </c>
      <c r="C64" s="100" t="s">
        <v>242</v>
      </c>
      <c r="D64" s="101">
        <v>1</v>
      </c>
      <c r="E64" s="102">
        <f t="shared" si="0"/>
        <v>18600</v>
      </c>
      <c r="F64" s="102">
        <f t="shared" si="1"/>
        <v>18600</v>
      </c>
      <c r="G64" s="103"/>
      <c r="H64" s="129">
        <v>300</v>
      </c>
      <c r="I64" s="130">
        <v>62</v>
      </c>
      <c r="J64" s="131">
        <v>1</v>
      </c>
      <c r="K64" s="132">
        <f t="shared" si="2"/>
        <v>300</v>
      </c>
      <c r="L64" s="30"/>
      <c r="M64" s="30"/>
    </row>
    <row r="65" spans="1:13">
      <c r="A65" s="98"/>
      <c r="B65" s="99" t="s">
        <v>243</v>
      </c>
      <c r="C65" s="100" t="s">
        <v>244</v>
      </c>
      <c r="D65" s="101">
        <v>1</v>
      </c>
      <c r="E65" s="102">
        <f>H65*I65*J65</f>
        <v>17360</v>
      </c>
      <c r="F65" s="102">
        <f t="shared" si="1"/>
        <v>17360</v>
      </c>
      <c r="G65" s="103"/>
      <c r="H65" s="133">
        <v>140</v>
      </c>
      <c r="I65" s="134">
        <v>62</v>
      </c>
      <c r="J65" s="135">
        <v>2</v>
      </c>
      <c r="K65" s="136">
        <f t="shared" si="2"/>
        <v>140</v>
      </c>
      <c r="L65" s="30"/>
      <c r="M65" s="30"/>
    </row>
    <row r="66" spans="1:13" ht="15">
      <c r="A66" s="98"/>
      <c r="B66" s="254" t="s">
        <v>245</v>
      </c>
      <c r="C66" s="255"/>
      <c r="D66" s="255"/>
      <c r="E66" s="256"/>
      <c r="F66" s="104">
        <f>SUM(F51:F65)</f>
        <v>842493.20000000007</v>
      </c>
      <c r="G66" s="103"/>
      <c r="H66" s="137"/>
      <c r="I66" s="137"/>
      <c r="J66" s="138"/>
      <c r="K66" s="139"/>
      <c r="L66" s="30"/>
      <c r="M66" s="30"/>
    </row>
    <row r="67" spans="1:13" ht="15">
      <c r="H67" s="126"/>
      <c r="I67" s="126"/>
      <c r="J67" s="126"/>
      <c r="K67" s="126"/>
      <c r="L67" s="30"/>
      <c r="M67" s="30"/>
    </row>
    <row r="68" spans="1:13" ht="15">
      <c r="A68" s="94"/>
      <c r="B68" s="252" t="s">
        <v>246</v>
      </c>
      <c r="C68" s="253"/>
      <c r="D68" s="95" t="s">
        <v>213</v>
      </c>
      <c r="E68" s="95" t="s">
        <v>2</v>
      </c>
      <c r="F68" s="96" t="s">
        <v>214</v>
      </c>
      <c r="G68" s="97"/>
      <c r="H68" s="127" t="s">
        <v>385</v>
      </c>
      <c r="I68" s="127" t="s">
        <v>386</v>
      </c>
      <c r="J68" s="127" t="s">
        <v>387</v>
      </c>
      <c r="K68" s="127" t="s">
        <v>388</v>
      </c>
      <c r="L68" s="30"/>
      <c r="M68" s="30"/>
    </row>
    <row r="69" spans="1:13" ht="15">
      <c r="A69" s="98"/>
      <c r="B69" s="99" t="s">
        <v>215</v>
      </c>
      <c r="C69" s="100" t="s">
        <v>216</v>
      </c>
      <c r="D69" s="101">
        <v>1</v>
      </c>
      <c r="E69" s="102">
        <f t="shared" ref="E69:E76" si="3">H69*I69*J69</f>
        <v>93000</v>
      </c>
      <c r="F69" s="102">
        <f t="shared" ref="F69:F92" si="4">E69*D69</f>
        <v>93000</v>
      </c>
      <c r="G69" s="103"/>
      <c r="H69" s="129">
        <v>750</v>
      </c>
      <c r="I69" s="130">
        <v>62</v>
      </c>
      <c r="J69" s="131">
        <v>2</v>
      </c>
      <c r="K69" s="132">
        <f t="shared" ref="K69:K92" si="5">H69*D69</f>
        <v>750</v>
      </c>
      <c r="L69" s="30"/>
      <c r="M69" s="30"/>
    </row>
    <row r="70" spans="1:13" ht="90">
      <c r="A70" s="98"/>
      <c r="B70" s="99" t="s">
        <v>247</v>
      </c>
      <c r="C70" s="100" t="s">
        <v>248</v>
      </c>
      <c r="D70" s="101">
        <v>1</v>
      </c>
      <c r="E70" s="102">
        <f t="shared" si="3"/>
        <v>79236</v>
      </c>
      <c r="F70" s="102">
        <f t="shared" si="4"/>
        <v>79236</v>
      </c>
      <c r="G70" s="103"/>
      <c r="H70" s="129">
        <v>639</v>
      </c>
      <c r="I70" s="130">
        <v>62</v>
      </c>
      <c r="J70" s="131">
        <v>2</v>
      </c>
      <c r="K70" s="132">
        <f t="shared" si="5"/>
        <v>639</v>
      </c>
      <c r="L70" s="30"/>
      <c r="M70" s="30"/>
    </row>
    <row r="71" spans="1:13" ht="60">
      <c r="A71" s="98"/>
      <c r="B71" s="99" t="s">
        <v>249</v>
      </c>
      <c r="C71" s="100" t="s">
        <v>250</v>
      </c>
      <c r="D71" s="101">
        <v>1</v>
      </c>
      <c r="E71" s="102">
        <f t="shared" si="3"/>
        <v>7316</v>
      </c>
      <c r="F71" s="102">
        <f t="shared" si="4"/>
        <v>7316</v>
      </c>
      <c r="G71" s="103"/>
      <c r="H71" s="129">
        <v>118</v>
      </c>
      <c r="I71" s="130">
        <v>62</v>
      </c>
      <c r="J71" s="131">
        <v>1</v>
      </c>
      <c r="K71" s="132">
        <f t="shared" si="5"/>
        <v>118</v>
      </c>
      <c r="L71" s="30"/>
      <c r="M71" s="30"/>
    </row>
    <row r="72" spans="1:13" ht="15">
      <c r="A72" s="98"/>
      <c r="B72" s="99" t="s">
        <v>251</v>
      </c>
      <c r="C72" s="100" t="s">
        <v>252</v>
      </c>
      <c r="D72" s="101">
        <v>1</v>
      </c>
      <c r="E72" s="102">
        <f t="shared" si="3"/>
        <v>28520</v>
      </c>
      <c r="F72" s="102">
        <f t="shared" si="4"/>
        <v>28520</v>
      </c>
      <c r="G72" s="103"/>
      <c r="H72" s="129">
        <v>460</v>
      </c>
      <c r="I72" s="130">
        <v>62</v>
      </c>
      <c r="J72" s="131">
        <v>1</v>
      </c>
      <c r="K72" s="132">
        <f t="shared" si="5"/>
        <v>460</v>
      </c>
      <c r="L72" s="30"/>
      <c r="M72" s="30"/>
    </row>
    <row r="73" spans="1:13" ht="15">
      <c r="A73" s="98"/>
      <c r="B73" s="99" t="s">
        <v>253</v>
      </c>
      <c r="C73" s="100" t="s">
        <v>254</v>
      </c>
      <c r="D73" s="101">
        <v>1</v>
      </c>
      <c r="E73" s="102">
        <f t="shared" si="3"/>
        <v>7440</v>
      </c>
      <c r="F73" s="102">
        <f t="shared" si="4"/>
        <v>7440</v>
      </c>
      <c r="G73" s="103"/>
      <c r="H73" s="129">
        <v>120</v>
      </c>
      <c r="I73" s="130">
        <v>62</v>
      </c>
      <c r="J73" s="131">
        <v>1</v>
      </c>
      <c r="K73" s="132">
        <f t="shared" si="5"/>
        <v>120</v>
      </c>
      <c r="L73" s="30"/>
      <c r="M73" s="30"/>
    </row>
    <row r="74" spans="1:13">
      <c r="A74" s="98"/>
      <c r="B74" s="99" t="s">
        <v>255</v>
      </c>
      <c r="C74" s="100" t="s">
        <v>256</v>
      </c>
      <c r="D74" s="101">
        <v>1</v>
      </c>
      <c r="E74" s="102">
        <f t="shared" si="3"/>
        <v>19840</v>
      </c>
      <c r="F74" s="102">
        <f t="shared" si="4"/>
        <v>19840</v>
      </c>
      <c r="G74" s="103"/>
      <c r="H74" s="129">
        <v>320</v>
      </c>
      <c r="I74" s="130">
        <v>62</v>
      </c>
      <c r="J74" s="131">
        <v>1</v>
      </c>
      <c r="K74" s="132">
        <f t="shared" si="5"/>
        <v>320</v>
      </c>
      <c r="L74" s="30"/>
      <c r="M74" s="30"/>
    </row>
    <row r="75" spans="1:13" ht="15">
      <c r="A75" s="98"/>
      <c r="B75" s="99" t="s">
        <v>257</v>
      </c>
      <c r="C75" s="100" t="s">
        <v>258</v>
      </c>
      <c r="D75" s="101">
        <v>1</v>
      </c>
      <c r="E75" s="102">
        <f t="shared" si="3"/>
        <v>11532</v>
      </c>
      <c r="F75" s="102">
        <f t="shared" si="4"/>
        <v>11532</v>
      </c>
      <c r="G75" s="103"/>
      <c r="H75" s="129">
        <v>186</v>
      </c>
      <c r="I75" s="130">
        <v>62</v>
      </c>
      <c r="J75" s="131">
        <v>1</v>
      </c>
      <c r="K75" s="132">
        <f t="shared" si="5"/>
        <v>186</v>
      </c>
      <c r="L75" s="30"/>
      <c r="M75" s="30"/>
    </row>
    <row r="76" spans="1:13" ht="15">
      <c r="A76" s="98"/>
      <c r="B76" s="99" t="s">
        <v>259</v>
      </c>
      <c r="C76" s="100" t="s">
        <v>260</v>
      </c>
      <c r="D76" s="101">
        <v>1</v>
      </c>
      <c r="E76" s="102">
        <f t="shared" si="3"/>
        <v>12028</v>
      </c>
      <c r="F76" s="102">
        <f t="shared" si="4"/>
        <v>12028</v>
      </c>
      <c r="G76" s="103"/>
      <c r="H76" s="129">
        <v>194</v>
      </c>
      <c r="I76" s="130">
        <v>62</v>
      </c>
      <c r="J76" s="131">
        <v>1</v>
      </c>
      <c r="K76" s="132">
        <f t="shared" si="5"/>
        <v>194</v>
      </c>
      <c r="L76" s="30"/>
      <c r="M76" s="30"/>
    </row>
    <row r="77" spans="1:13" ht="165">
      <c r="A77" s="98"/>
      <c r="B77" s="99" t="s">
        <v>217</v>
      </c>
      <c r="C77" s="100" t="s">
        <v>218</v>
      </c>
      <c r="D77" s="101">
        <v>1</v>
      </c>
      <c r="E77" s="102">
        <f>H77*I77*J77</f>
        <v>247380</v>
      </c>
      <c r="F77" s="102">
        <f t="shared" si="4"/>
        <v>247380</v>
      </c>
      <c r="G77" s="103"/>
      <c r="H77" s="129">
        <v>1995</v>
      </c>
      <c r="I77" s="130">
        <v>62</v>
      </c>
      <c r="J77" s="131">
        <v>2</v>
      </c>
      <c r="K77" s="132">
        <f t="shared" si="5"/>
        <v>1995</v>
      </c>
      <c r="L77" s="30"/>
      <c r="M77" s="30"/>
    </row>
    <row r="78" spans="1:13" ht="105">
      <c r="A78" s="98"/>
      <c r="B78" s="99" t="s">
        <v>219</v>
      </c>
      <c r="C78" s="100" t="s">
        <v>220</v>
      </c>
      <c r="D78" s="101">
        <v>1</v>
      </c>
      <c r="E78" s="102">
        <f t="shared" ref="E78:E91" si="6">H78*I78*J78</f>
        <v>37200</v>
      </c>
      <c r="F78" s="102">
        <f t="shared" si="4"/>
        <v>37200</v>
      </c>
      <c r="G78" s="103"/>
      <c r="H78" s="129">
        <v>300</v>
      </c>
      <c r="I78" s="130">
        <v>62</v>
      </c>
      <c r="J78" s="131">
        <v>2</v>
      </c>
      <c r="K78" s="132">
        <f t="shared" si="5"/>
        <v>300</v>
      </c>
      <c r="L78" s="30"/>
      <c r="M78" s="30"/>
    </row>
    <row r="79" spans="1:13">
      <c r="A79" s="98"/>
      <c r="B79" s="99" t="s">
        <v>225</v>
      </c>
      <c r="C79" s="100" t="s">
        <v>226</v>
      </c>
      <c r="D79" s="101">
        <v>1</v>
      </c>
      <c r="E79" s="102">
        <f t="shared" si="6"/>
        <v>21824</v>
      </c>
      <c r="F79" s="102">
        <f t="shared" si="4"/>
        <v>21824</v>
      </c>
      <c r="G79" s="103"/>
      <c r="H79" s="129">
        <v>352</v>
      </c>
      <c r="I79" s="130">
        <v>62</v>
      </c>
      <c r="J79" s="131">
        <v>1</v>
      </c>
      <c r="K79" s="132">
        <f t="shared" si="5"/>
        <v>352</v>
      </c>
      <c r="L79" s="30"/>
      <c r="M79" s="30"/>
    </row>
    <row r="80" spans="1:13" ht="15">
      <c r="A80" s="98"/>
      <c r="B80" s="99" t="s">
        <v>227</v>
      </c>
      <c r="C80" s="100" t="s">
        <v>228</v>
      </c>
      <c r="D80" s="101">
        <v>1</v>
      </c>
      <c r="E80" s="102">
        <f t="shared" si="6"/>
        <v>27900</v>
      </c>
      <c r="F80" s="102">
        <f t="shared" si="4"/>
        <v>27900</v>
      </c>
      <c r="G80" s="103"/>
      <c r="H80" s="129">
        <v>300</v>
      </c>
      <c r="I80" s="130">
        <v>62</v>
      </c>
      <c r="J80" s="131">
        <v>1.5</v>
      </c>
      <c r="K80" s="132">
        <f t="shared" si="5"/>
        <v>300</v>
      </c>
      <c r="L80" s="30"/>
      <c r="M80" s="30"/>
    </row>
    <row r="81" spans="1:13">
      <c r="A81" s="98"/>
      <c r="B81" s="99" t="s">
        <v>261</v>
      </c>
      <c r="C81" s="100" t="s">
        <v>262</v>
      </c>
      <c r="D81" s="101">
        <v>1</v>
      </c>
      <c r="E81" s="102">
        <f t="shared" si="6"/>
        <v>18600</v>
      </c>
      <c r="F81" s="102">
        <f t="shared" si="4"/>
        <v>18600</v>
      </c>
      <c r="G81" s="103"/>
      <c r="H81" s="129">
        <v>300</v>
      </c>
      <c r="I81" s="130">
        <v>62</v>
      </c>
      <c r="J81" s="131">
        <v>1</v>
      </c>
      <c r="K81" s="132">
        <f t="shared" si="5"/>
        <v>300</v>
      </c>
      <c r="L81" s="30"/>
      <c r="M81" s="30"/>
    </row>
    <row r="82" spans="1:13" ht="15">
      <c r="A82" s="98"/>
      <c r="B82" s="99" t="s">
        <v>263</v>
      </c>
      <c r="C82" s="100" t="s">
        <v>264</v>
      </c>
      <c r="D82" s="101">
        <v>1</v>
      </c>
      <c r="E82" s="102">
        <f t="shared" si="6"/>
        <v>35712</v>
      </c>
      <c r="F82" s="102">
        <f t="shared" si="4"/>
        <v>35712</v>
      </c>
      <c r="G82" s="103"/>
      <c r="H82" s="129">
        <v>384</v>
      </c>
      <c r="I82" s="130">
        <v>62</v>
      </c>
      <c r="J82" s="131">
        <v>1.5</v>
      </c>
      <c r="K82" s="132">
        <f t="shared" si="5"/>
        <v>384</v>
      </c>
      <c r="L82" s="30"/>
      <c r="M82" s="30"/>
    </row>
    <row r="83" spans="1:13">
      <c r="A83" s="98"/>
      <c r="B83" s="99" t="s">
        <v>265</v>
      </c>
      <c r="C83" s="100" t="s">
        <v>266</v>
      </c>
      <c r="D83" s="101">
        <v>1</v>
      </c>
      <c r="E83" s="102">
        <f t="shared" si="6"/>
        <v>89280</v>
      </c>
      <c r="F83" s="102">
        <f t="shared" si="4"/>
        <v>89280</v>
      </c>
      <c r="G83" s="103"/>
      <c r="H83" s="129">
        <v>960</v>
      </c>
      <c r="I83" s="130">
        <v>62</v>
      </c>
      <c r="J83" s="131">
        <v>1.5</v>
      </c>
      <c r="K83" s="132">
        <f t="shared" si="5"/>
        <v>960</v>
      </c>
      <c r="L83" s="30"/>
      <c r="M83" s="30"/>
    </row>
    <row r="84" spans="1:13">
      <c r="A84" s="98"/>
      <c r="B84" s="99" t="s">
        <v>267</v>
      </c>
      <c r="C84" s="100" t="s">
        <v>268</v>
      </c>
      <c r="D84" s="101">
        <v>1</v>
      </c>
      <c r="E84" s="102">
        <f t="shared" si="6"/>
        <v>8246</v>
      </c>
      <c r="F84" s="102">
        <f t="shared" si="4"/>
        <v>8246</v>
      </c>
      <c r="G84" s="103"/>
      <c r="H84" s="129">
        <v>133</v>
      </c>
      <c r="I84" s="130">
        <v>62</v>
      </c>
      <c r="J84" s="131">
        <v>1</v>
      </c>
      <c r="K84" s="132">
        <f t="shared" si="5"/>
        <v>133</v>
      </c>
      <c r="L84" s="30"/>
      <c r="M84" s="30"/>
    </row>
    <row r="85" spans="1:13" ht="15">
      <c r="A85" s="98"/>
      <c r="B85" s="99" t="s">
        <v>229</v>
      </c>
      <c r="C85" s="100" t="s">
        <v>230</v>
      </c>
      <c r="D85" s="101">
        <v>1</v>
      </c>
      <c r="E85" s="102">
        <f t="shared" si="6"/>
        <v>39308</v>
      </c>
      <c r="F85" s="102">
        <f t="shared" si="4"/>
        <v>39308</v>
      </c>
      <c r="G85" s="103"/>
      <c r="H85" s="129">
        <v>634</v>
      </c>
      <c r="I85" s="130">
        <v>62</v>
      </c>
      <c r="J85" s="131">
        <v>1</v>
      </c>
      <c r="K85" s="132">
        <f t="shared" si="5"/>
        <v>634</v>
      </c>
      <c r="L85" s="30"/>
      <c r="M85" s="30"/>
    </row>
    <row r="86" spans="1:13">
      <c r="A86" s="98"/>
      <c r="B86" s="99" t="s">
        <v>231</v>
      </c>
      <c r="C86" s="100" t="s">
        <v>232</v>
      </c>
      <c r="D86" s="101">
        <v>1</v>
      </c>
      <c r="E86" s="102">
        <f t="shared" si="6"/>
        <v>13454</v>
      </c>
      <c r="F86" s="102">
        <f t="shared" si="4"/>
        <v>13454</v>
      </c>
      <c r="G86" s="103"/>
      <c r="H86" s="129">
        <v>217</v>
      </c>
      <c r="I86" s="130">
        <v>62</v>
      </c>
      <c r="J86" s="131">
        <v>1</v>
      </c>
      <c r="K86" s="132">
        <f t="shared" si="5"/>
        <v>217</v>
      </c>
      <c r="L86" s="30"/>
      <c r="M86" s="30"/>
    </row>
    <row r="87" spans="1:13" ht="15">
      <c r="A87" s="98"/>
      <c r="B87" s="99" t="s">
        <v>233</v>
      </c>
      <c r="C87" s="100" t="s">
        <v>234</v>
      </c>
      <c r="D87" s="101">
        <v>1</v>
      </c>
      <c r="E87" s="102">
        <f t="shared" si="6"/>
        <v>2170</v>
      </c>
      <c r="F87" s="102">
        <f t="shared" si="4"/>
        <v>2170</v>
      </c>
      <c r="G87" s="103"/>
      <c r="H87" s="129">
        <v>35</v>
      </c>
      <c r="I87" s="130">
        <v>62</v>
      </c>
      <c r="J87" s="131">
        <v>1</v>
      </c>
      <c r="K87" s="132">
        <f t="shared" si="5"/>
        <v>35</v>
      </c>
      <c r="L87" s="30"/>
      <c r="M87" s="30"/>
    </row>
    <row r="88" spans="1:13" ht="15">
      <c r="A88" s="98"/>
      <c r="B88" s="99" t="s">
        <v>235</v>
      </c>
      <c r="C88" s="100" t="s">
        <v>236</v>
      </c>
      <c r="D88" s="101">
        <v>1</v>
      </c>
      <c r="E88" s="102">
        <f t="shared" si="6"/>
        <v>7626</v>
      </c>
      <c r="F88" s="102">
        <f t="shared" si="4"/>
        <v>7626</v>
      </c>
      <c r="G88" s="103"/>
      <c r="H88" s="129">
        <v>123</v>
      </c>
      <c r="I88" s="130">
        <v>62</v>
      </c>
      <c r="J88" s="131">
        <v>1</v>
      </c>
      <c r="K88" s="132">
        <f t="shared" si="5"/>
        <v>123</v>
      </c>
      <c r="L88" s="30"/>
      <c r="M88" s="30"/>
    </row>
    <row r="89" spans="1:13" ht="15">
      <c r="A89" s="98"/>
      <c r="B89" s="99" t="s">
        <v>237</v>
      </c>
      <c r="C89" s="100" t="s">
        <v>238</v>
      </c>
      <c r="D89" s="101">
        <v>1</v>
      </c>
      <c r="E89" s="102">
        <f t="shared" si="6"/>
        <v>128786.40000000001</v>
      </c>
      <c r="F89" s="102">
        <f t="shared" si="4"/>
        <v>128786.40000000001</v>
      </c>
      <c r="G89" s="103"/>
      <c r="H89" s="129">
        <v>1154</v>
      </c>
      <c r="I89" s="130">
        <v>62</v>
      </c>
      <c r="J89" s="131">
        <v>1.8</v>
      </c>
      <c r="K89" s="132">
        <f t="shared" si="5"/>
        <v>1154</v>
      </c>
      <c r="L89" s="30"/>
      <c r="M89" s="30"/>
    </row>
    <row r="90" spans="1:13">
      <c r="A90" s="98"/>
      <c r="B90" s="99" t="s">
        <v>239</v>
      </c>
      <c r="C90" s="100" t="s">
        <v>240</v>
      </c>
      <c r="D90" s="101">
        <v>1</v>
      </c>
      <c r="E90" s="102">
        <f t="shared" si="6"/>
        <v>14284.800000000001</v>
      </c>
      <c r="F90" s="102">
        <f t="shared" si="4"/>
        <v>14284.800000000001</v>
      </c>
      <c r="G90" s="103"/>
      <c r="H90" s="129">
        <v>128</v>
      </c>
      <c r="I90" s="130">
        <v>62</v>
      </c>
      <c r="J90" s="131">
        <v>1.8</v>
      </c>
      <c r="K90" s="132">
        <f t="shared" si="5"/>
        <v>128</v>
      </c>
      <c r="L90" s="30"/>
      <c r="M90" s="30"/>
    </row>
    <row r="91" spans="1:13">
      <c r="A91" s="98"/>
      <c r="B91" s="99" t="s">
        <v>241</v>
      </c>
      <c r="C91" s="100" t="s">
        <v>242</v>
      </c>
      <c r="D91" s="101">
        <v>1</v>
      </c>
      <c r="E91" s="102">
        <f t="shared" si="6"/>
        <v>18600</v>
      </c>
      <c r="F91" s="102">
        <f t="shared" si="4"/>
        <v>18600</v>
      </c>
      <c r="G91" s="103"/>
      <c r="H91" s="129">
        <v>300</v>
      </c>
      <c r="I91" s="130">
        <v>62</v>
      </c>
      <c r="J91" s="131">
        <v>1</v>
      </c>
      <c r="K91" s="132">
        <f t="shared" si="5"/>
        <v>300</v>
      </c>
      <c r="L91" s="30"/>
      <c r="M91" s="30"/>
    </row>
    <row r="92" spans="1:13">
      <c r="A92" s="98"/>
      <c r="B92" s="99" t="s">
        <v>243</v>
      </c>
      <c r="C92" s="100" t="s">
        <v>244</v>
      </c>
      <c r="D92" s="101">
        <v>1</v>
      </c>
      <c r="E92" s="102">
        <f>H92*I92*J92</f>
        <v>17360</v>
      </c>
      <c r="F92" s="102">
        <f t="shared" si="4"/>
        <v>17360</v>
      </c>
      <c r="G92" s="103"/>
      <c r="H92" s="133">
        <v>140</v>
      </c>
      <c r="I92" s="134">
        <v>62</v>
      </c>
      <c r="J92" s="135">
        <v>2</v>
      </c>
      <c r="K92" s="136">
        <f t="shared" si="5"/>
        <v>140</v>
      </c>
      <c r="L92" s="30"/>
      <c r="M92" s="30"/>
    </row>
    <row r="93" spans="1:13" ht="15">
      <c r="A93" s="98"/>
      <c r="B93" s="254" t="s">
        <v>245</v>
      </c>
      <c r="C93" s="255"/>
      <c r="D93" s="255"/>
      <c r="E93" s="256"/>
      <c r="F93" s="104">
        <f>SUM(F69:F92)</f>
        <v>986643.20000000007</v>
      </c>
      <c r="G93" s="103"/>
      <c r="H93" s="137"/>
      <c r="I93" s="137"/>
      <c r="J93" s="138"/>
      <c r="K93" s="139"/>
      <c r="L93" s="30"/>
      <c r="M93" s="30"/>
    </row>
    <row r="94" spans="1:13" ht="15">
      <c r="H94" s="126"/>
      <c r="I94" s="126"/>
      <c r="J94" s="126"/>
      <c r="K94" s="126"/>
      <c r="L94" s="30"/>
      <c r="M94" s="30"/>
    </row>
    <row r="95" spans="1:13" ht="15">
      <c r="A95" s="94"/>
      <c r="B95" s="252" t="s">
        <v>269</v>
      </c>
      <c r="C95" s="253"/>
      <c r="D95" s="95" t="s">
        <v>213</v>
      </c>
      <c r="E95" s="95" t="s">
        <v>2</v>
      </c>
      <c r="F95" s="96" t="s">
        <v>214</v>
      </c>
      <c r="G95" s="97"/>
      <c r="H95" s="127" t="s">
        <v>385</v>
      </c>
      <c r="I95" s="127" t="s">
        <v>386</v>
      </c>
      <c r="J95" s="127" t="s">
        <v>387</v>
      </c>
      <c r="K95" s="127" t="s">
        <v>388</v>
      </c>
      <c r="L95" s="30"/>
      <c r="M95" s="30"/>
    </row>
    <row r="96" spans="1:13" ht="15">
      <c r="A96" s="98"/>
      <c r="B96" s="99" t="s">
        <v>215</v>
      </c>
      <c r="C96" s="100" t="s">
        <v>216</v>
      </c>
      <c r="D96" s="101">
        <v>1</v>
      </c>
      <c r="E96" s="102">
        <f t="shared" ref="E96:E109" si="7">H96*I96*J96</f>
        <v>93000</v>
      </c>
      <c r="F96" s="102">
        <f t="shared" ref="F96:F110" si="8">E96*D96</f>
        <v>93000</v>
      </c>
      <c r="G96" s="103"/>
      <c r="H96" s="129">
        <v>750</v>
      </c>
      <c r="I96" s="130">
        <v>62</v>
      </c>
      <c r="J96" s="131">
        <v>2</v>
      </c>
      <c r="K96" s="132">
        <f t="shared" ref="K96:K110" si="9">H96*D96</f>
        <v>750</v>
      </c>
      <c r="L96" s="30"/>
      <c r="M96" s="30"/>
    </row>
    <row r="97" spans="1:13" ht="90">
      <c r="A97" s="98"/>
      <c r="B97" s="99" t="s">
        <v>247</v>
      </c>
      <c r="C97" s="100" t="s">
        <v>248</v>
      </c>
      <c r="D97" s="101">
        <v>1</v>
      </c>
      <c r="E97" s="102">
        <f t="shared" si="7"/>
        <v>79236</v>
      </c>
      <c r="F97" s="102">
        <f t="shared" si="8"/>
        <v>79236</v>
      </c>
      <c r="G97" s="103"/>
      <c r="H97" s="129">
        <v>639</v>
      </c>
      <c r="I97" s="130">
        <v>62</v>
      </c>
      <c r="J97" s="131">
        <v>2</v>
      </c>
      <c r="K97" s="132">
        <f t="shared" si="9"/>
        <v>639</v>
      </c>
      <c r="L97" s="30"/>
      <c r="M97" s="30"/>
    </row>
    <row r="98" spans="1:13" ht="75">
      <c r="A98" s="98"/>
      <c r="B98" s="99" t="s">
        <v>270</v>
      </c>
      <c r="C98" s="100" t="s">
        <v>271</v>
      </c>
      <c r="D98" s="101">
        <v>1</v>
      </c>
      <c r="E98" s="102">
        <f t="shared" si="7"/>
        <v>79236</v>
      </c>
      <c r="F98" s="102">
        <f t="shared" si="8"/>
        <v>79236</v>
      </c>
      <c r="G98" s="103"/>
      <c r="H98" s="129">
        <v>639</v>
      </c>
      <c r="I98" s="130">
        <v>62</v>
      </c>
      <c r="J98" s="131">
        <v>2</v>
      </c>
      <c r="K98" s="132">
        <f t="shared" si="9"/>
        <v>639</v>
      </c>
      <c r="L98" s="30"/>
      <c r="M98" s="30"/>
    </row>
    <row r="99" spans="1:13" ht="60">
      <c r="A99" s="98"/>
      <c r="B99" s="99" t="s">
        <v>249</v>
      </c>
      <c r="C99" s="100" t="s">
        <v>250</v>
      </c>
      <c r="D99" s="101">
        <v>1</v>
      </c>
      <c r="E99" s="102">
        <f t="shared" si="7"/>
        <v>7316</v>
      </c>
      <c r="F99" s="102">
        <f t="shared" si="8"/>
        <v>7316</v>
      </c>
      <c r="G99" s="103"/>
      <c r="H99" s="129">
        <v>118</v>
      </c>
      <c r="I99" s="130">
        <v>62</v>
      </c>
      <c r="J99" s="131">
        <v>1</v>
      </c>
      <c r="K99" s="132">
        <f t="shared" si="9"/>
        <v>118</v>
      </c>
      <c r="L99" s="30"/>
      <c r="M99" s="30"/>
    </row>
    <row r="100" spans="1:13" ht="15">
      <c r="A100" s="98"/>
      <c r="B100" s="99" t="s">
        <v>251</v>
      </c>
      <c r="C100" s="100" t="s">
        <v>252</v>
      </c>
      <c r="D100" s="101">
        <v>1</v>
      </c>
      <c r="E100" s="102">
        <f t="shared" si="7"/>
        <v>28520</v>
      </c>
      <c r="F100" s="102">
        <f t="shared" si="8"/>
        <v>28520</v>
      </c>
      <c r="G100" s="103"/>
      <c r="H100" s="129">
        <v>460</v>
      </c>
      <c r="I100" s="130">
        <v>62</v>
      </c>
      <c r="J100" s="131">
        <v>1</v>
      </c>
      <c r="K100" s="132">
        <f t="shared" si="9"/>
        <v>460</v>
      </c>
      <c r="L100" s="30"/>
      <c r="M100" s="30"/>
    </row>
    <row r="101" spans="1:13" ht="15">
      <c r="A101" s="98"/>
      <c r="B101" s="99" t="s">
        <v>253</v>
      </c>
      <c r="C101" s="100" t="s">
        <v>254</v>
      </c>
      <c r="D101" s="101">
        <v>1</v>
      </c>
      <c r="E101" s="102">
        <f t="shared" si="7"/>
        <v>7440</v>
      </c>
      <c r="F101" s="102">
        <f t="shared" si="8"/>
        <v>7440</v>
      </c>
      <c r="G101" s="103"/>
      <c r="H101" s="129">
        <v>120</v>
      </c>
      <c r="I101" s="130">
        <v>62</v>
      </c>
      <c r="J101" s="131">
        <v>1</v>
      </c>
      <c r="K101" s="132">
        <f t="shared" si="9"/>
        <v>120</v>
      </c>
      <c r="L101" s="30"/>
      <c r="M101" s="30"/>
    </row>
    <row r="102" spans="1:13">
      <c r="A102" s="98"/>
      <c r="B102" s="99" t="s">
        <v>255</v>
      </c>
      <c r="C102" s="100" t="s">
        <v>256</v>
      </c>
      <c r="D102" s="101">
        <v>1</v>
      </c>
      <c r="E102" s="102">
        <f t="shared" si="7"/>
        <v>19840</v>
      </c>
      <c r="F102" s="102">
        <f t="shared" si="8"/>
        <v>19840</v>
      </c>
      <c r="G102" s="103"/>
      <c r="H102" s="129">
        <v>320</v>
      </c>
      <c r="I102" s="130">
        <v>62</v>
      </c>
      <c r="J102" s="131">
        <v>1</v>
      </c>
      <c r="K102" s="132">
        <f t="shared" si="9"/>
        <v>320</v>
      </c>
      <c r="L102" s="30"/>
      <c r="M102" s="30"/>
    </row>
    <row r="103" spans="1:13" ht="15">
      <c r="A103" s="98"/>
      <c r="B103" s="99" t="s">
        <v>257</v>
      </c>
      <c r="C103" s="100" t="s">
        <v>258</v>
      </c>
      <c r="D103" s="101">
        <v>1</v>
      </c>
      <c r="E103" s="102">
        <f t="shared" si="7"/>
        <v>11532</v>
      </c>
      <c r="F103" s="102">
        <f t="shared" si="8"/>
        <v>11532</v>
      </c>
      <c r="G103" s="103"/>
      <c r="H103" s="129">
        <v>186</v>
      </c>
      <c r="I103" s="130">
        <v>62</v>
      </c>
      <c r="J103" s="131">
        <v>1</v>
      </c>
      <c r="K103" s="132">
        <f t="shared" si="9"/>
        <v>186</v>
      </c>
      <c r="L103" s="30"/>
      <c r="M103" s="30"/>
    </row>
    <row r="104" spans="1:13" ht="15">
      <c r="A104" s="98"/>
      <c r="B104" s="99" t="s">
        <v>259</v>
      </c>
      <c r="C104" s="100" t="s">
        <v>260</v>
      </c>
      <c r="D104" s="101">
        <v>1</v>
      </c>
      <c r="E104" s="102">
        <f t="shared" si="7"/>
        <v>12028</v>
      </c>
      <c r="F104" s="102">
        <f t="shared" si="8"/>
        <v>12028</v>
      </c>
      <c r="G104" s="103"/>
      <c r="H104" s="129">
        <v>194</v>
      </c>
      <c r="I104" s="130">
        <v>62</v>
      </c>
      <c r="J104" s="131">
        <v>1</v>
      </c>
      <c r="K104" s="132">
        <f t="shared" si="9"/>
        <v>194</v>
      </c>
      <c r="L104" s="30"/>
      <c r="M104" s="30"/>
    </row>
    <row r="105" spans="1:13">
      <c r="A105" s="98"/>
      <c r="B105" s="99" t="s">
        <v>261</v>
      </c>
      <c r="C105" s="100" t="s">
        <v>262</v>
      </c>
      <c r="D105" s="101">
        <v>1</v>
      </c>
      <c r="E105" s="102">
        <f t="shared" si="7"/>
        <v>18600</v>
      </c>
      <c r="F105" s="102">
        <f t="shared" si="8"/>
        <v>18600</v>
      </c>
      <c r="G105" s="103"/>
      <c r="H105" s="129">
        <v>300</v>
      </c>
      <c r="I105" s="130">
        <v>62</v>
      </c>
      <c r="J105" s="131">
        <v>1</v>
      </c>
      <c r="K105" s="132">
        <f t="shared" si="9"/>
        <v>300</v>
      </c>
      <c r="L105" s="30"/>
      <c r="M105" s="30"/>
    </row>
    <row r="106" spans="1:13" ht="15">
      <c r="A106" s="98"/>
      <c r="B106" s="99" t="s">
        <v>263</v>
      </c>
      <c r="C106" s="100" t="s">
        <v>264</v>
      </c>
      <c r="D106" s="101">
        <v>1</v>
      </c>
      <c r="E106" s="102">
        <f t="shared" si="7"/>
        <v>35712</v>
      </c>
      <c r="F106" s="102">
        <f t="shared" si="8"/>
        <v>35712</v>
      </c>
      <c r="G106" s="103"/>
      <c r="H106" s="129">
        <v>384</v>
      </c>
      <c r="I106" s="130">
        <v>62</v>
      </c>
      <c r="J106" s="131">
        <v>1.5</v>
      </c>
      <c r="K106" s="132">
        <f t="shared" si="9"/>
        <v>384</v>
      </c>
      <c r="L106" s="30"/>
      <c r="M106" s="30"/>
    </row>
    <row r="107" spans="1:13">
      <c r="A107" s="98"/>
      <c r="B107" s="99" t="s">
        <v>267</v>
      </c>
      <c r="C107" s="100" t="s">
        <v>268</v>
      </c>
      <c r="D107" s="101">
        <v>1</v>
      </c>
      <c r="E107" s="102">
        <f t="shared" si="7"/>
        <v>8246</v>
      </c>
      <c r="F107" s="102">
        <f t="shared" si="8"/>
        <v>8246</v>
      </c>
      <c r="G107" s="103"/>
      <c r="H107" s="129">
        <v>133</v>
      </c>
      <c r="I107" s="130">
        <v>62</v>
      </c>
      <c r="J107" s="131">
        <v>1</v>
      </c>
      <c r="K107" s="132">
        <f t="shared" si="9"/>
        <v>133</v>
      </c>
      <c r="L107" s="30"/>
      <c r="M107" s="30"/>
    </row>
    <row r="108" spans="1:13" ht="15">
      <c r="A108" s="98"/>
      <c r="B108" s="99" t="s">
        <v>272</v>
      </c>
      <c r="C108" s="100" t="s">
        <v>273</v>
      </c>
      <c r="D108" s="101">
        <v>1</v>
      </c>
      <c r="E108" s="102">
        <f t="shared" si="7"/>
        <v>9548</v>
      </c>
      <c r="F108" s="102">
        <f t="shared" si="8"/>
        <v>9548</v>
      </c>
      <c r="G108" s="103"/>
      <c r="H108" s="129">
        <v>154</v>
      </c>
      <c r="I108" s="130">
        <v>62</v>
      </c>
      <c r="J108" s="131">
        <v>1</v>
      </c>
      <c r="K108" s="132">
        <f t="shared" si="9"/>
        <v>154</v>
      </c>
      <c r="L108" s="30"/>
      <c r="M108" s="30"/>
    </row>
    <row r="109" spans="1:13">
      <c r="A109" s="98"/>
      <c r="B109" s="99" t="s">
        <v>241</v>
      </c>
      <c r="C109" s="100" t="s">
        <v>242</v>
      </c>
      <c r="D109" s="101">
        <v>1</v>
      </c>
      <c r="E109" s="102">
        <f t="shared" si="7"/>
        <v>18600</v>
      </c>
      <c r="F109" s="102">
        <f t="shared" si="8"/>
        <v>18600</v>
      </c>
      <c r="G109" s="103"/>
      <c r="H109" s="129">
        <v>300</v>
      </c>
      <c r="I109" s="130">
        <v>62</v>
      </c>
      <c r="J109" s="131">
        <v>1</v>
      </c>
      <c r="K109" s="132">
        <f t="shared" si="9"/>
        <v>300</v>
      </c>
      <c r="L109" s="30"/>
      <c r="M109" s="30"/>
    </row>
    <row r="110" spans="1:13">
      <c r="A110" s="98"/>
      <c r="B110" s="99" t="s">
        <v>243</v>
      </c>
      <c r="C110" s="100" t="s">
        <v>244</v>
      </c>
      <c r="D110" s="101">
        <v>1</v>
      </c>
      <c r="E110" s="102">
        <f>H110*I110*J110</f>
        <v>17360</v>
      </c>
      <c r="F110" s="102">
        <f t="shared" si="8"/>
        <v>17360</v>
      </c>
      <c r="G110" s="103"/>
      <c r="H110" s="133">
        <v>140</v>
      </c>
      <c r="I110" s="134">
        <v>62</v>
      </c>
      <c r="J110" s="135">
        <v>2</v>
      </c>
      <c r="K110" s="136">
        <f t="shared" si="9"/>
        <v>140</v>
      </c>
      <c r="L110" s="30"/>
      <c r="M110" s="30"/>
    </row>
    <row r="111" spans="1:13" ht="15">
      <c r="A111" s="98"/>
      <c r="B111" s="254" t="s">
        <v>245</v>
      </c>
      <c r="C111" s="255"/>
      <c r="D111" s="255"/>
      <c r="E111" s="256"/>
      <c r="F111" s="104">
        <f>SUM(F96:F110)</f>
        <v>446214</v>
      </c>
      <c r="G111" s="103"/>
      <c r="H111" s="137"/>
      <c r="I111" s="137"/>
      <c r="J111" s="138"/>
      <c r="K111" s="139"/>
      <c r="L111" s="30"/>
      <c r="M111" s="30"/>
    </row>
    <row r="112" spans="1:13" ht="15">
      <c r="H112" s="126"/>
      <c r="I112" s="126"/>
      <c r="J112" s="126"/>
      <c r="K112" s="126"/>
      <c r="L112" s="30"/>
      <c r="M112" s="30"/>
    </row>
    <row r="113" spans="1:13" ht="15">
      <c r="A113" s="94"/>
      <c r="B113" s="252" t="s">
        <v>274</v>
      </c>
      <c r="C113" s="253"/>
      <c r="D113" s="95" t="s">
        <v>213</v>
      </c>
      <c r="E113" s="95" t="s">
        <v>2</v>
      </c>
      <c r="F113" s="96" t="s">
        <v>214</v>
      </c>
      <c r="G113" s="97"/>
      <c r="H113" s="127" t="s">
        <v>385</v>
      </c>
      <c r="I113" s="127" t="s">
        <v>386</v>
      </c>
      <c r="J113" s="127" t="s">
        <v>387</v>
      </c>
      <c r="K113" s="127" t="s">
        <v>388</v>
      </c>
      <c r="L113" s="30"/>
      <c r="M113" s="30"/>
    </row>
    <row r="114" spans="1:13" ht="75">
      <c r="A114" s="98"/>
      <c r="B114" s="99" t="s">
        <v>270</v>
      </c>
      <c r="C114" s="100" t="s">
        <v>271</v>
      </c>
      <c r="D114" s="101">
        <v>1</v>
      </c>
      <c r="E114" s="102">
        <f>H114*I114*J114</f>
        <v>79236</v>
      </c>
      <c r="F114" s="102">
        <f>E114*D114</f>
        <v>79236</v>
      </c>
      <c r="G114" s="103"/>
      <c r="H114" s="129">
        <v>639</v>
      </c>
      <c r="I114" s="130">
        <v>62</v>
      </c>
      <c r="J114" s="131">
        <v>2</v>
      </c>
      <c r="K114" s="132">
        <f>H114*D114</f>
        <v>639</v>
      </c>
      <c r="L114" s="30"/>
      <c r="M114" s="30"/>
    </row>
    <row r="115" spans="1:13" ht="60">
      <c r="A115" s="98"/>
      <c r="B115" s="99" t="s">
        <v>249</v>
      </c>
      <c r="C115" s="100" t="s">
        <v>250</v>
      </c>
      <c r="D115" s="101">
        <v>1</v>
      </c>
      <c r="E115" s="102">
        <f>H115*I115*J115</f>
        <v>7316</v>
      </c>
      <c r="F115" s="102">
        <f>E115*D115</f>
        <v>7316</v>
      </c>
      <c r="G115" s="103"/>
      <c r="H115" s="129">
        <v>118</v>
      </c>
      <c r="I115" s="130">
        <v>62</v>
      </c>
      <c r="J115" s="131">
        <v>1</v>
      </c>
      <c r="K115" s="132">
        <f>H115*D115</f>
        <v>118</v>
      </c>
      <c r="L115" s="30"/>
      <c r="M115" s="30"/>
    </row>
    <row r="116" spans="1:13" ht="15">
      <c r="A116" s="98"/>
      <c r="B116" s="99" t="s">
        <v>275</v>
      </c>
      <c r="C116" s="100" t="s">
        <v>276</v>
      </c>
      <c r="D116" s="101">
        <v>1</v>
      </c>
      <c r="E116" s="102">
        <f>H116*I116*J116</f>
        <v>9672</v>
      </c>
      <c r="F116" s="102">
        <f>E116*D116</f>
        <v>9672</v>
      </c>
      <c r="G116" s="103"/>
      <c r="H116" s="129">
        <v>156</v>
      </c>
      <c r="I116" s="130">
        <v>62</v>
      </c>
      <c r="J116" s="131">
        <v>1</v>
      </c>
      <c r="K116" s="132">
        <f>H116*D116</f>
        <v>156</v>
      </c>
      <c r="L116" s="30"/>
      <c r="M116" s="30"/>
    </row>
    <row r="117" spans="1:13" ht="15">
      <c r="A117" s="98"/>
      <c r="B117" s="99" t="s">
        <v>259</v>
      </c>
      <c r="C117" s="100" t="s">
        <v>260</v>
      </c>
      <c r="D117" s="101">
        <v>1</v>
      </c>
      <c r="E117" s="102">
        <f t="shared" ref="E117:E121" si="10">H117*I117*J117</f>
        <v>12028</v>
      </c>
      <c r="F117" s="102">
        <f t="shared" ref="F117:F122" si="11">E117*D117</f>
        <v>12028</v>
      </c>
      <c r="G117" s="103"/>
      <c r="H117" s="129">
        <v>194</v>
      </c>
      <c r="I117" s="130">
        <v>62</v>
      </c>
      <c r="J117" s="131">
        <v>1</v>
      </c>
      <c r="K117" s="132">
        <f t="shared" ref="K117:K122" si="12">H117*D117</f>
        <v>194</v>
      </c>
      <c r="L117" s="30"/>
      <c r="M117" s="30"/>
    </row>
    <row r="118" spans="1:13">
      <c r="A118" s="98"/>
      <c r="B118" s="99" t="s">
        <v>261</v>
      </c>
      <c r="C118" s="100" t="s">
        <v>262</v>
      </c>
      <c r="D118" s="101">
        <v>1</v>
      </c>
      <c r="E118" s="102">
        <f t="shared" si="10"/>
        <v>18600</v>
      </c>
      <c r="F118" s="102">
        <f t="shared" si="11"/>
        <v>18600</v>
      </c>
      <c r="G118" s="103"/>
      <c r="H118" s="129">
        <v>300</v>
      </c>
      <c r="I118" s="130">
        <v>62</v>
      </c>
      <c r="J118" s="131">
        <v>1</v>
      </c>
      <c r="K118" s="132">
        <f t="shared" si="12"/>
        <v>300</v>
      </c>
      <c r="L118" s="30"/>
      <c r="M118" s="30"/>
    </row>
    <row r="119" spans="1:13">
      <c r="A119" s="98"/>
      <c r="B119" s="99" t="s">
        <v>267</v>
      </c>
      <c r="C119" s="100" t="s">
        <v>268</v>
      </c>
      <c r="D119" s="101">
        <v>1</v>
      </c>
      <c r="E119" s="102">
        <f t="shared" si="10"/>
        <v>8246</v>
      </c>
      <c r="F119" s="102">
        <f t="shared" si="11"/>
        <v>8246</v>
      </c>
      <c r="G119" s="103"/>
      <c r="H119" s="129">
        <v>133</v>
      </c>
      <c r="I119" s="130">
        <v>62</v>
      </c>
      <c r="J119" s="131">
        <v>1</v>
      </c>
      <c r="K119" s="132">
        <f t="shared" si="12"/>
        <v>133</v>
      </c>
      <c r="L119" s="30"/>
      <c r="M119" s="30"/>
    </row>
    <row r="120" spans="1:13" ht="15">
      <c r="A120" s="98"/>
      <c r="B120" s="99" t="s">
        <v>272</v>
      </c>
      <c r="C120" s="100" t="s">
        <v>273</v>
      </c>
      <c r="D120" s="101">
        <v>1</v>
      </c>
      <c r="E120" s="102">
        <f t="shared" si="10"/>
        <v>9548</v>
      </c>
      <c r="F120" s="102">
        <f t="shared" si="11"/>
        <v>9548</v>
      </c>
      <c r="G120" s="103"/>
      <c r="H120" s="129">
        <v>154</v>
      </c>
      <c r="I120" s="130">
        <v>62</v>
      </c>
      <c r="J120" s="131">
        <v>1</v>
      </c>
      <c r="K120" s="132">
        <f t="shared" si="12"/>
        <v>154</v>
      </c>
      <c r="L120" s="30"/>
      <c r="M120" s="30"/>
    </row>
    <row r="121" spans="1:13">
      <c r="A121" s="98"/>
      <c r="B121" s="99" t="s">
        <v>241</v>
      </c>
      <c r="C121" s="100" t="s">
        <v>242</v>
      </c>
      <c r="D121" s="101">
        <v>1</v>
      </c>
      <c r="E121" s="102">
        <f t="shared" si="10"/>
        <v>18600</v>
      </c>
      <c r="F121" s="102">
        <f t="shared" si="11"/>
        <v>18600</v>
      </c>
      <c r="G121" s="103"/>
      <c r="H121" s="129">
        <v>300</v>
      </c>
      <c r="I121" s="130">
        <v>62</v>
      </c>
      <c r="J121" s="131">
        <v>1</v>
      </c>
      <c r="K121" s="132">
        <f t="shared" si="12"/>
        <v>300</v>
      </c>
      <c r="L121" s="30"/>
      <c r="M121" s="30"/>
    </row>
    <row r="122" spans="1:13">
      <c r="A122" s="98"/>
      <c r="B122" s="99" t="s">
        <v>243</v>
      </c>
      <c r="C122" s="100" t="s">
        <v>244</v>
      </c>
      <c r="D122" s="101">
        <v>1</v>
      </c>
      <c r="E122" s="102">
        <f>H122*I122*J122</f>
        <v>17360</v>
      </c>
      <c r="F122" s="102">
        <f t="shared" si="11"/>
        <v>17360</v>
      </c>
      <c r="G122" s="103"/>
      <c r="H122" s="133">
        <v>140</v>
      </c>
      <c r="I122" s="134">
        <v>62</v>
      </c>
      <c r="J122" s="135">
        <v>2</v>
      </c>
      <c r="K122" s="136">
        <f t="shared" si="12"/>
        <v>140</v>
      </c>
      <c r="L122" s="30"/>
      <c r="M122" s="30"/>
    </row>
    <row r="123" spans="1:13" ht="15">
      <c r="A123" s="98"/>
      <c r="B123" s="254" t="s">
        <v>245</v>
      </c>
      <c r="C123" s="255"/>
      <c r="D123" s="255"/>
      <c r="E123" s="256"/>
      <c r="F123" s="104">
        <f>SUM(F114:F122)</f>
        <v>180606</v>
      </c>
      <c r="G123" s="103"/>
      <c r="H123" s="137"/>
      <c r="I123" s="137"/>
      <c r="J123" s="138"/>
      <c r="K123" s="139"/>
      <c r="L123" s="30"/>
      <c r="M123" s="30"/>
    </row>
    <row r="124" spans="1:13" ht="15">
      <c r="H124" s="126"/>
      <c r="I124" s="126"/>
      <c r="J124" s="126"/>
      <c r="K124" s="126"/>
      <c r="L124" s="30"/>
      <c r="M124" s="30"/>
    </row>
    <row r="125" spans="1:13" ht="15">
      <c r="A125" s="94"/>
      <c r="B125" s="252" t="s">
        <v>277</v>
      </c>
      <c r="C125" s="253"/>
      <c r="D125" s="95" t="s">
        <v>213</v>
      </c>
      <c r="E125" s="95" t="s">
        <v>2</v>
      </c>
      <c r="F125" s="96" t="s">
        <v>214</v>
      </c>
      <c r="G125" s="97"/>
      <c r="H125" s="127" t="s">
        <v>385</v>
      </c>
      <c r="I125" s="127" t="s">
        <v>386</v>
      </c>
      <c r="J125" s="127" t="s">
        <v>387</v>
      </c>
      <c r="K125" s="127" t="s">
        <v>388</v>
      </c>
      <c r="L125" s="30"/>
      <c r="M125" s="30"/>
    </row>
    <row r="126" spans="1:13" ht="75">
      <c r="A126" s="98"/>
      <c r="B126" s="99" t="s">
        <v>278</v>
      </c>
      <c r="C126" s="100" t="s">
        <v>279</v>
      </c>
      <c r="D126" s="101">
        <v>1</v>
      </c>
      <c r="E126" s="102">
        <f>H126*I126*J126</f>
        <v>19840</v>
      </c>
      <c r="F126" s="102">
        <f>E126*D126</f>
        <v>19840</v>
      </c>
      <c r="G126" s="103"/>
      <c r="H126" s="129">
        <v>320</v>
      </c>
      <c r="I126" s="130">
        <v>62</v>
      </c>
      <c r="J126" s="131">
        <v>1</v>
      </c>
      <c r="K126" s="132">
        <f>H126*D126</f>
        <v>320</v>
      </c>
      <c r="L126" s="30"/>
      <c r="M126" s="30"/>
    </row>
    <row r="127" spans="1:13" ht="90">
      <c r="A127" s="98"/>
      <c r="B127" s="99" t="s">
        <v>280</v>
      </c>
      <c r="C127" s="100" t="s">
        <v>281</v>
      </c>
      <c r="D127" s="101">
        <v>1</v>
      </c>
      <c r="E127" s="102">
        <f>H127*I127*J127</f>
        <v>43400</v>
      </c>
      <c r="F127" s="102">
        <f>E127*D127</f>
        <v>43400</v>
      </c>
      <c r="G127" s="103"/>
      <c r="H127" s="129">
        <v>700</v>
      </c>
      <c r="I127" s="130">
        <v>62</v>
      </c>
      <c r="J127" s="131">
        <v>1</v>
      </c>
      <c r="K127" s="132">
        <f>H127*D127</f>
        <v>700</v>
      </c>
      <c r="L127" s="30"/>
      <c r="M127" s="30"/>
    </row>
    <row r="128" spans="1:13" ht="90">
      <c r="A128" s="98"/>
      <c r="B128" s="99" t="s">
        <v>282</v>
      </c>
      <c r="C128" s="100" t="s">
        <v>283</v>
      </c>
      <c r="D128" s="101">
        <v>1</v>
      </c>
      <c r="E128" s="102">
        <f>H128*I128*J128</f>
        <v>95170</v>
      </c>
      <c r="F128" s="102">
        <f>E128*D128</f>
        <v>95170</v>
      </c>
      <c r="G128" s="103"/>
      <c r="H128" s="129">
        <v>1535</v>
      </c>
      <c r="I128" s="130">
        <v>62</v>
      </c>
      <c r="J128" s="131">
        <v>1</v>
      </c>
      <c r="K128" s="132">
        <f>H128*D128</f>
        <v>1535</v>
      </c>
      <c r="L128" s="30"/>
      <c r="M128" s="30"/>
    </row>
    <row r="129" spans="1:13">
      <c r="A129" s="98"/>
      <c r="B129" s="99" t="s">
        <v>284</v>
      </c>
      <c r="C129" s="100" t="s">
        <v>285</v>
      </c>
      <c r="D129" s="101">
        <v>1</v>
      </c>
      <c r="E129" s="102">
        <f t="shared" ref="E129:E136" si="13">H129*I129*J129</f>
        <v>7440</v>
      </c>
      <c r="F129" s="102">
        <f t="shared" ref="F129:F137" si="14">E129*D129</f>
        <v>7440</v>
      </c>
      <c r="G129" s="103"/>
      <c r="H129" s="129">
        <v>120</v>
      </c>
      <c r="I129" s="130">
        <v>62</v>
      </c>
      <c r="J129" s="131">
        <v>1</v>
      </c>
      <c r="K129" s="132">
        <f t="shared" ref="K129:K137" si="15">H129*D129</f>
        <v>120</v>
      </c>
      <c r="L129" s="30"/>
      <c r="M129" s="30"/>
    </row>
    <row r="130" spans="1:13" ht="45">
      <c r="A130" s="98"/>
      <c r="B130" s="99" t="s">
        <v>286</v>
      </c>
      <c r="C130" s="100" t="s">
        <v>287</v>
      </c>
      <c r="D130" s="101">
        <v>1</v>
      </c>
      <c r="E130" s="102">
        <f t="shared" si="13"/>
        <v>11904</v>
      </c>
      <c r="F130" s="102">
        <f t="shared" si="14"/>
        <v>11904</v>
      </c>
      <c r="G130" s="103"/>
      <c r="H130" s="129">
        <v>192</v>
      </c>
      <c r="I130" s="130">
        <v>62</v>
      </c>
      <c r="J130" s="131">
        <v>1</v>
      </c>
      <c r="K130" s="132">
        <f t="shared" si="15"/>
        <v>192</v>
      </c>
      <c r="L130" s="30"/>
      <c r="M130" s="30"/>
    </row>
    <row r="131" spans="1:13">
      <c r="A131" s="98"/>
      <c r="B131" s="99" t="s">
        <v>288</v>
      </c>
      <c r="C131" s="100" t="s">
        <v>289</v>
      </c>
      <c r="D131" s="101">
        <v>1</v>
      </c>
      <c r="E131" s="102">
        <f t="shared" si="13"/>
        <v>34100</v>
      </c>
      <c r="F131" s="102">
        <f t="shared" si="14"/>
        <v>34100</v>
      </c>
      <c r="G131" s="103"/>
      <c r="H131" s="129">
        <v>550</v>
      </c>
      <c r="I131" s="130">
        <v>62</v>
      </c>
      <c r="J131" s="131">
        <v>1</v>
      </c>
      <c r="K131" s="132">
        <f t="shared" si="15"/>
        <v>550</v>
      </c>
      <c r="L131" s="30"/>
      <c r="M131" s="30"/>
    </row>
    <row r="132" spans="1:13" ht="75">
      <c r="A132" s="98"/>
      <c r="B132" s="99" t="s">
        <v>290</v>
      </c>
      <c r="C132" s="100" t="s">
        <v>291</v>
      </c>
      <c r="D132" s="101">
        <v>1</v>
      </c>
      <c r="E132" s="102">
        <f t="shared" si="13"/>
        <v>22320</v>
      </c>
      <c r="F132" s="102">
        <f t="shared" si="14"/>
        <v>22320</v>
      </c>
      <c r="G132" s="103"/>
      <c r="H132" s="129">
        <v>360</v>
      </c>
      <c r="I132" s="130">
        <v>62</v>
      </c>
      <c r="J132" s="131">
        <v>1</v>
      </c>
      <c r="K132" s="132">
        <f t="shared" si="15"/>
        <v>360</v>
      </c>
      <c r="L132" s="30"/>
      <c r="M132" s="30"/>
    </row>
    <row r="133" spans="1:13">
      <c r="A133" s="98"/>
      <c r="B133" s="99" t="s">
        <v>292</v>
      </c>
      <c r="C133" s="100" t="s">
        <v>293</v>
      </c>
      <c r="D133" s="101">
        <v>1</v>
      </c>
      <c r="E133" s="102">
        <f t="shared" si="13"/>
        <v>31000</v>
      </c>
      <c r="F133" s="102">
        <f t="shared" si="14"/>
        <v>31000</v>
      </c>
      <c r="G133" s="103"/>
      <c r="H133" s="129">
        <v>500</v>
      </c>
      <c r="I133" s="130">
        <v>62</v>
      </c>
      <c r="J133" s="131">
        <v>1</v>
      </c>
      <c r="K133" s="132">
        <f t="shared" si="15"/>
        <v>500</v>
      </c>
      <c r="L133" s="30"/>
      <c r="M133" s="30"/>
    </row>
    <row r="134" spans="1:13">
      <c r="A134" s="98"/>
      <c r="B134" s="99" t="s">
        <v>294</v>
      </c>
      <c r="C134" s="100" t="s">
        <v>295</v>
      </c>
      <c r="D134" s="101">
        <v>1</v>
      </c>
      <c r="E134" s="102">
        <f t="shared" si="13"/>
        <v>25200</v>
      </c>
      <c r="F134" s="102">
        <f t="shared" si="14"/>
        <v>25200</v>
      </c>
      <c r="G134" s="103"/>
      <c r="H134" s="133">
        <v>400</v>
      </c>
      <c r="I134" s="130">
        <v>63</v>
      </c>
      <c r="J134" s="131">
        <v>1</v>
      </c>
      <c r="K134" s="136">
        <f t="shared" si="15"/>
        <v>400</v>
      </c>
      <c r="L134" s="30"/>
      <c r="M134" s="30"/>
    </row>
    <row r="135" spans="1:13">
      <c r="A135" s="98"/>
      <c r="B135" s="99" t="s">
        <v>296</v>
      </c>
      <c r="C135" s="100" t="s">
        <v>297</v>
      </c>
      <c r="D135" s="101">
        <v>1</v>
      </c>
      <c r="E135" s="102">
        <f t="shared" si="13"/>
        <v>12800</v>
      </c>
      <c r="F135" s="102">
        <f t="shared" si="14"/>
        <v>12800</v>
      </c>
      <c r="G135" s="103"/>
      <c r="H135" s="133">
        <v>200</v>
      </c>
      <c r="I135" s="130">
        <v>64</v>
      </c>
      <c r="J135" s="131">
        <v>1</v>
      </c>
      <c r="K135" s="136">
        <f t="shared" si="15"/>
        <v>200</v>
      </c>
      <c r="L135" s="30"/>
      <c r="M135" s="30"/>
    </row>
    <row r="136" spans="1:13">
      <c r="A136" s="98"/>
      <c r="B136" s="99" t="s">
        <v>298</v>
      </c>
      <c r="C136" s="100" t="s">
        <v>299</v>
      </c>
      <c r="D136" s="101">
        <v>1</v>
      </c>
      <c r="E136" s="102">
        <f t="shared" si="13"/>
        <v>39000</v>
      </c>
      <c r="F136" s="102">
        <f t="shared" si="14"/>
        <v>39000</v>
      </c>
      <c r="G136" s="103"/>
      <c r="H136" s="133">
        <v>600</v>
      </c>
      <c r="I136" s="130">
        <v>65</v>
      </c>
      <c r="J136" s="131">
        <v>1</v>
      </c>
      <c r="K136" s="136">
        <f t="shared" si="15"/>
        <v>600</v>
      </c>
      <c r="L136" s="30"/>
      <c r="M136" s="30"/>
    </row>
    <row r="137" spans="1:13">
      <c r="A137" s="98"/>
      <c r="B137" s="99" t="s">
        <v>300</v>
      </c>
      <c r="C137" s="100" t="s">
        <v>301</v>
      </c>
      <c r="D137" s="101">
        <v>1</v>
      </c>
      <c r="E137" s="102">
        <f>H137*I137*J137</f>
        <v>24800</v>
      </c>
      <c r="F137" s="102">
        <f t="shared" si="14"/>
        <v>24800</v>
      </c>
      <c r="G137" s="103"/>
      <c r="H137" s="133">
        <v>400</v>
      </c>
      <c r="I137" s="134">
        <v>62</v>
      </c>
      <c r="J137" s="135">
        <v>1</v>
      </c>
      <c r="K137" s="136">
        <f t="shared" si="15"/>
        <v>400</v>
      </c>
      <c r="L137" s="30"/>
      <c r="M137" s="30"/>
    </row>
    <row r="138" spans="1:13" ht="15">
      <c r="A138" s="98"/>
      <c r="B138" s="254" t="s">
        <v>245</v>
      </c>
      <c r="C138" s="255"/>
      <c r="D138" s="255"/>
      <c r="E138" s="256"/>
      <c r="F138" s="104">
        <f>SUM(F126:F137)</f>
        <v>366974</v>
      </c>
      <c r="G138" s="103"/>
      <c r="H138" s="137"/>
      <c r="I138" s="137"/>
      <c r="J138" s="138"/>
      <c r="K138" s="139"/>
      <c r="L138" s="30"/>
      <c r="M138" s="30"/>
    </row>
    <row r="139" spans="1:13" ht="15">
      <c r="H139" s="126"/>
      <c r="I139" s="126"/>
      <c r="J139" s="126"/>
      <c r="K139" s="126"/>
      <c r="L139" s="30"/>
      <c r="M139" s="30"/>
    </row>
    <row r="140" spans="1:13" ht="15">
      <c r="A140" s="94"/>
      <c r="B140" s="252" t="s">
        <v>302</v>
      </c>
      <c r="C140" s="253"/>
      <c r="D140" s="95" t="s">
        <v>213</v>
      </c>
      <c r="E140" s="95" t="s">
        <v>2</v>
      </c>
      <c r="F140" s="96" t="s">
        <v>214</v>
      </c>
      <c r="G140" s="97"/>
      <c r="H140" s="127" t="s">
        <v>385</v>
      </c>
      <c r="I140" s="127" t="s">
        <v>386</v>
      </c>
      <c r="J140" s="127" t="s">
        <v>387</v>
      </c>
      <c r="K140" s="127" t="s">
        <v>388</v>
      </c>
      <c r="L140" s="30"/>
      <c r="M140" s="30"/>
    </row>
    <row r="141" spans="1:13" ht="180">
      <c r="A141" s="98"/>
      <c r="B141" s="99" t="s">
        <v>303</v>
      </c>
      <c r="C141" s="100" t="s">
        <v>304</v>
      </c>
      <c r="D141" s="101">
        <v>1</v>
      </c>
      <c r="E141" s="102">
        <f>H141*I141*J141</f>
        <v>160208</v>
      </c>
      <c r="F141" s="102">
        <f>E141*D141</f>
        <v>160208</v>
      </c>
      <c r="G141" s="103"/>
      <c r="H141" s="129">
        <v>1292</v>
      </c>
      <c r="I141" s="130">
        <v>62</v>
      </c>
      <c r="J141" s="131">
        <v>2</v>
      </c>
      <c r="K141" s="132">
        <f>H141*D141</f>
        <v>1292</v>
      </c>
      <c r="L141" s="30"/>
      <c r="M141" s="30"/>
    </row>
    <row r="142" spans="1:13">
      <c r="A142" s="98"/>
      <c r="B142" s="99" t="s">
        <v>305</v>
      </c>
      <c r="C142" s="100" t="s">
        <v>306</v>
      </c>
      <c r="D142" s="101">
        <v>1</v>
      </c>
      <c r="E142" s="102">
        <f>H142*I142*J142</f>
        <v>18104</v>
      </c>
      <c r="F142" s="102">
        <f>E142*D142</f>
        <v>18104</v>
      </c>
      <c r="G142" s="103"/>
      <c r="H142" s="129">
        <v>146</v>
      </c>
      <c r="I142" s="130">
        <v>62</v>
      </c>
      <c r="J142" s="131">
        <v>2</v>
      </c>
      <c r="K142" s="132">
        <f>H142*D142</f>
        <v>146</v>
      </c>
      <c r="L142" s="30"/>
      <c r="M142" s="30"/>
    </row>
    <row r="143" spans="1:13">
      <c r="A143" s="98"/>
      <c r="B143" s="99" t="s">
        <v>307</v>
      </c>
      <c r="C143" s="100" t="s">
        <v>308</v>
      </c>
      <c r="D143" s="101">
        <v>1</v>
      </c>
      <c r="E143" s="102">
        <f>H143*I143*J143</f>
        <v>12152</v>
      </c>
      <c r="F143" s="102">
        <f>E143*D143</f>
        <v>12152</v>
      </c>
      <c r="G143" s="103"/>
      <c r="H143" s="129">
        <v>98</v>
      </c>
      <c r="I143" s="130">
        <v>62</v>
      </c>
      <c r="J143" s="131">
        <v>2</v>
      </c>
      <c r="K143" s="132">
        <f>H143*D143</f>
        <v>98</v>
      </c>
      <c r="L143" s="30"/>
      <c r="M143" s="30"/>
    </row>
    <row r="144" spans="1:13" ht="15">
      <c r="A144" s="98"/>
      <c r="B144" s="99" t="s">
        <v>309</v>
      </c>
      <c r="C144" s="100" t="s">
        <v>310</v>
      </c>
      <c r="D144" s="101">
        <v>1</v>
      </c>
      <c r="E144" s="102">
        <f t="shared" ref="E144:E151" si="16">H144*I144*J144</f>
        <v>1798</v>
      </c>
      <c r="F144" s="102">
        <f t="shared" ref="F144:F151" si="17">E144*D144</f>
        <v>1798</v>
      </c>
      <c r="G144" s="103"/>
      <c r="H144" s="129">
        <v>29</v>
      </c>
      <c r="I144" s="130">
        <v>62</v>
      </c>
      <c r="J144" s="131">
        <v>1</v>
      </c>
      <c r="K144" s="132">
        <f t="shared" ref="K144:K151" si="18">H144*D144</f>
        <v>29</v>
      </c>
      <c r="L144" s="30"/>
      <c r="M144" s="30"/>
    </row>
    <row r="145" spans="1:13" ht="75">
      <c r="A145" s="98"/>
      <c r="B145" s="99" t="s">
        <v>311</v>
      </c>
      <c r="C145" s="100" t="s">
        <v>312</v>
      </c>
      <c r="D145" s="101">
        <v>1</v>
      </c>
      <c r="E145" s="102">
        <f t="shared" si="16"/>
        <v>22940</v>
      </c>
      <c r="F145" s="102">
        <f t="shared" si="17"/>
        <v>22940</v>
      </c>
      <c r="G145" s="103"/>
      <c r="H145" s="129">
        <v>185</v>
      </c>
      <c r="I145" s="130">
        <v>62</v>
      </c>
      <c r="J145" s="131">
        <v>2</v>
      </c>
      <c r="K145" s="132">
        <f t="shared" si="18"/>
        <v>185</v>
      </c>
      <c r="L145" s="30"/>
      <c r="M145" s="30"/>
    </row>
    <row r="146" spans="1:13" ht="45">
      <c r="A146" s="98"/>
      <c r="B146" s="99" t="s">
        <v>313</v>
      </c>
      <c r="C146" s="100" t="s">
        <v>314</v>
      </c>
      <c r="D146" s="101">
        <v>1</v>
      </c>
      <c r="E146" s="102">
        <f t="shared" si="16"/>
        <v>33728</v>
      </c>
      <c r="F146" s="102">
        <f t="shared" si="17"/>
        <v>33728</v>
      </c>
      <c r="G146" s="103"/>
      <c r="H146" s="129">
        <v>272</v>
      </c>
      <c r="I146" s="130">
        <v>62</v>
      </c>
      <c r="J146" s="131">
        <v>2</v>
      </c>
      <c r="K146" s="132">
        <f t="shared" si="18"/>
        <v>272</v>
      </c>
      <c r="L146" s="30"/>
      <c r="M146" s="30"/>
    </row>
    <row r="147" spans="1:13">
      <c r="A147" s="98"/>
      <c r="B147" s="99" t="s">
        <v>315</v>
      </c>
      <c r="C147" s="100" t="s">
        <v>316</v>
      </c>
      <c r="D147" s="101">
        <v>1</v>
      </c>
      <c r="E147" s="102">
        <f t="shared" si="16"/>
        <v>7936</v>
      </c>
      <c r="F147" s="102">
        <f t="shared" si="17"/>
        <v>7936</v>
      </c>
      <c r="G147" s="103"/>
      <c r="H147" s="129">
        <v>64</v>
      </c>
      <c r="I147" s="130">
        <v>62</v>
      </c>
      <c r="J147" s="131">
        <v>2</v>
      </c>
      <c r="K147" s="132">
        <f t="shared" si="18"/>
        <v>64</v>
      </c>
      <c r="L147" s="30"/>
      <c r="M147" s="30"/>
    </row>
    <row r="148" spans="1:13" ht="45">
      <c r="A148" s="98"/>
      <c r="B148" s="99" t="s">
        <v>317</v>
      </c>
      <c r="C148" s="100" t="s">
        <v>318</v>
      </c>
      <c r="D148" s="101">
        <v>1</v>
      </c>
      <c r="E148" s="102">
        <f t="shared" si="16"/>
        <v>9052</v>
      </c>
      <c r="F148" s="102">
        <f t="shared" si="17"/>
        <v>9052</v>
      </c>
      <c r="G148" s="103"/>
      <c r="H148" s="129">
        <v>73</v>
      </c>
      <c r="I148" s="130">
        <v>62</v>
      </c>
      <c r="J148" s="131">
        <v>2</v>
      </c>
      <c r="K148" s="132">
        <f t="shared" si="18"/>
        <v>73</v>
      </c>
      <c r="L148" s="30"/>
      <c r="M148" s="30"/>
    </row>
    <row r="149" spans="1:13" ht="15">
      <c r="A149" s="98"/>
      <c r="B149" s="99" t="s">
        <v>319</v>
      </c>
      <c r="C149" s="100" t="s">
        <v>320</v>
      </c>
      <c r="D149" s="101">
        <v>2</v>
      </c>
      <c r="E149" s="102">
        <f t="shared" si="16"/>
        <v>8060</v>
      </c>
      <c r="F149" s="102">
        <f t="shared" si="17"/>
        <v>16120</v>
      </c>
      <c r="G149" s="103"/>
      <c r="H149" s="129">
        <v>65</v>
      </c>
      <c r="I149" s="130">
        <v>62</v>
      </c>
      <c r="J149" s="131">
        <v>2</v>
      </c>
      <c r="K149" s="132">
        <f t="shared" si="18"/>
        <v>130</v>
      </c>
      <c r="L149" s="30"/>
      <c r="M149" s="30"/>
    </row>
    <row r="150" spans="1:13" ht="15">
      <c r="A150" s="98"/>
      <c r="B150" s="99" t="s">
        <v>321</v>
      </c>
      <c r="C150" s="100" t="s">
        <v>322</v>
      </c>
      <c r="D150" s="101">
        <v>1</v>
      </c>
      <c r="E150" s="102">
        <f t="shared" si="16"/>
        <v>22134</v>
      </c>
      <c r="F150" s="102">
        <f t="shared" si="17"/>
        <v>22134</v>
      </c>
      <c r="G150" s="103"/>
      <c r="H150" s="133">
        <v>238</v>
      </c>
      <c r="I150" s="130">
        <v>62</v>
      </c>
      <c r="J150" s="131">
        <v>1.5</v>
      </c>
      <c r="K150" s="136">
        <f t="shared" si="18"/>
        <v>238</v>
      </c>
      <c r="L150" s="30"/>
      <c r="M150" s="30"/>
    </row>
    <row r="151" spans="1:13" ht="15">
      <c r="A151" s="98"/>
      <c r="B151" s="99" t="s">
        <v>323</v>
      </c>
      <c r="C151" s="100" t="s">
        <v>324</v>
      </c>
      <c r="D151" s="101">
        <v>1</v>
      </c>
      <c r="E151" s="102">
        <f t="shared" si="16"/>
        <v>2356</v>
      </c>
      <c r="F151" s="102">
        <f t="shared" si="17"/>
        <v>2356</v>
      </c>
      <c r="G151" s="103"/>
      <c r="H151" s="133">
        <v>38</v>
      </c>
      <c r="I151" s="130">
        <v>62</v>
      </c>
      <c r="J151" s="131">
        <v>1</v>
      </c>
      <c r="K151" s="136">
        <f t="shared" si="18"/>
        <v>38</v>
      </c>
      <c r="L151" s="30"/>
      <c r="M151" s="30"/>
    </row>
    <row r="152" spans="1:13" ht="15">
      <c r="A152" s="98"/>
      <c r="B152" s="254" t="s">
        <v>245</v>
      </c>
      <c r="C152" s="255"/>
      <c r="D152" s="255"/>
      <c r="E152" s="256"/>
      <c r="F152" s="104">
        <f>SUM(F141:F151)</f>
        <v>306528</v>
      </c>
      <c r="G152" s="103"/>
      <c r="H152" s="137"/>
      <c r="I152" s="137"/>
      <c r="J152" s="138"/>
      <c r="K152" s="139"/>
      <c r="L152" s="30"/>
      <c r="M152" s="30"/>
    </row>
    <row r="153" spans="1:13" ht="15">
      <c r="H153" s="126"/>
      <c r="I153" s="126"/>
      <c r="J153" s="126"/>
      <c r="K153" s="126"/>
      <c r="L153" s="30"/>
      <c r="M153" s="30"/>
    </row>
    <row r="154" spans="1:13" ht="15">
      <c r="A154" s="94"/>
      <c r="B154" s="252" t="s">
        <v>325</v>
      </c>
      <c r="C154" s="253"/>
      <c r="D154" s="95" t="s">
        <v>213</v>
      </c>
      <c r="E154" s="95" t="s">
        <v>2</v>
      </c>
      <c r="F154" s="96" t="s">
        <v>214</v>
      </c>
      <c r="G154" s="97"/>
      <c r="H154" s="127" t="s">
        <v>385</v>
      </c>
      <c r="I154" s="127" t="s">
        <v>386</v>
      </c>
      <c r="J154" s="127" t="s">
        <v>387</v>
      </c>
      <c r="K154" s="127" t="s">
        <v>388</v>
      </c>
      <c r="L154" s="30"/>
      <c r="M154" s="30"/>
    </row>
    <row r="155" spans="1:13" ht="15">
      <c r="A155" s="98"/>
      <c r="B155" s="257" t="s">
        <v>326</v>
      </c>
      <c r="C155" s="258"/>
      <c r="D155" s="101">
        <v>1</v>
      </c>
      <c r="E155" s="102">
        <v>10000</v>
      </c>
      <c r="F155" s="102">
        <f t="shared" ref="F155:F159" si="19">E155*D155</f>
        <v>10000</v>
      </c>
      <c r="G155" s="103"/>
      <c r="H155" s="129">
        <v>64</v>
      </c>
      <c r="I155" s="130">
        <v>62</v>
      </c>
      <c r="J155" s="131">
        <v>2</v>
      </c>
      <c r="K155" s="132">
        <f t="shared" ref="K155:K159" si="20">H155*D155</f>
        <v>64</v>
      </c>
      <c r="L155" s="30"/>
      <c r="M155" s="30"/>
    </row>
    <row r="156" spans="1:13" ht="15">
      <c r="A156" s="98"/>
      <c r="B156" s="257" t="s">
        <v>327</v>
      </c>
      <c r="C156" s="258"/>
      <c r="D156" s="101">
        <v>1</v>
      </c>
      <c r="E156" s="102">
        <v>10000</v>
      </c>
      <c r="F156" s="102">
        <f t="shared" si="19"/>
        <v>10000</v>
      </c>
      <c r="G156" s="103"/>
      <c r="H156" s="129">
        <v>73</v>
      </c>
      <c r="I156" s="130">
        <v>62</v>
      </c>
      <c r="J156" s="131">
        <v>2</v>
      </c>
      <c r="K156" s="132">
        <f t="shared" si="20"/>
        <v>73</v>
      </c>
      <c r="L156" s="30"/>
      <c r="M156" s="30"/>
    </row>
    <row r="157" spans="1:13" ht="15">
      <c r="A157" s="98"/>
      <c r="B157" s="257" t="s">
        <v>328</v>
      </c>
      <c r="C157" s="258"/>
      <c r="D157" s="101">
        <v>2</v>
      </c>
      <c r="E157" s="102">
        <v>5000</v>
      </c>
      <c r="F157" s="102">
        <f t="shared" si="19"/>
        <v>10000</v>
      </c>
      <c r="G157" s="103"/>
      <c r="H157" s="129">
        <v>65</v>
      </c>
      <c r="I157" s="130">
        <v>62</v>
      </c>
      <c r="J157" s="131">
        <v>2</v>
      </c>
      <c r="K157" s="132">
        <f t="shared" si="20"/>
        <v>130</v>
      </c>
      <c r="L157" s="30"/>
      <c r="M157" s="30"/>
    </row>
    <row r="158" spans="1:13" ht="15">
      <c r="A158" s="98"/>
      <c r="B158" s="257" t="s">
        <v>329</v>
      </c>
      <c r="C158" s="258"/>
      <c r="D158" s="101">
        <v>1</v>
      </c>
      <c r="E158" s="102">
        <v>10000</v>
      </c>
      <c r="F158" s="102">
        <f t="shared" si="19"/>
        <v>10000</v>
      </c>
      <c r="G158" s="103"/>
      <c r="H158" s="133">
        <v>238</v>
      </c>
      <c r="I158" s="130">
        <v>62</v>
      </c>
      <c r="J158" s="131">
        <v>1.5</v>
      </c>
      <c r="K158" s="136">
        <f t="shared" si="20"/>
        <v>238</v>
      </c>
      <c r="L158" s="30"/>
      <c r="M158" s="30"/>
    </row>
    <row r="159" spans="1:13" ht="15">
      <c r="A159" s="98"/>
      <c r="B159" s="257" t="s">
        <v>330</v>
      </c>
      <c r="C159" s="258"/>
      <c r="D159" s="101">
        <v>1</v>
      </c>
      <c r="E159" s="102">
        <v>10000</v>
      </c>
      <c r="F159" s="102">
        <f t="shared" si="19"/>
        <v>10000</v>
      </c>
      <c r="G159" s="103"/>
      <c r="H159" s="133">
        <v>38</v>
      </c>
      <c r="I159" s="130">
        <v>62</v>
      </c>
      <c r="J159" s="131">
        <v>1</v>
      </c>
      <c r="K159" s="136">
        <f t="shared" si="20"/>
        <v>38</v>
      </c>
      <c r="L159" s="30"/>
      <c r="M159" s="30"/>
    </row>
    <row r="160" spans="1:13" ht="15">
      <c r="A160" s="98"/>
      <c r="B160" s="254" t="s">
        <v>245</v>
      </c>
      <c r="C160" s="255"/>
      <c r="D160" s="255"/>
      <c r="E160" s="256"/>
      <c r="F160" s="104">
        <f>SUM(F155:F159)</f>
        <v>50000</v>
      </c>
      <c r="G160" s="103"/>
      <c r="H160" s="137"/>
      <c r="I160" s="137"/>
      <c r="J160" s="138"/>
      <c r="K160" s="139"/>
      <c r="L160" s="30"/>
      <c r="M160" s="30"/>
    </row>
    <row r="161" spans="1:13" ht="15">
      <c r="H161" s="126"/>
      <c r="I161" s="126"/>
      <c r="J161" s="126"/>
      <c r="K161" s="126"/>
      <c r="L161" s="30"/>
      <c r="M161" s="30"/>
    </row>
    <row r="162" spans="1:13" ht="15">
      <c r="A162" s="94"/>
      <c r="B162" s="252" t="s">
        <v>331</v>
      </c>
      <c r="C162" s="259"/>
      <c r="D162" s="259"/>
      <c r="E162" s="253"/>
      <c r="F162" s="96"/>
      <c r="G162" s="97"/>
      <c r="H162" s="127" t="s">
        <v>385</v>
      </c>
      <c r="I162" s="127" t="s">
        <v>386</v>
      </c>
      <c r="J162" s="127" t="s">
        <v>387</v>
      </c>
      <c r="K162" s="127" t="s">
        <v>388</v>
      </c>
      <c r="L162" s="30"/>
      <c r="M162" s="30"/>
    </row>
    <row r="163" spans="1:13" ht="15">
      <c r="A163" s="98"/>
      <c r="B163" s="257" t="s">
        <v>332</v>
      </c>
      <c r="C163" s="260"/>
      <c r="D163" s="260"/>
      <c r="E163" s="258"/>
      <c r="F163" s="105"/>
      <c r="G163" s="103"/>
      <c r="H163" s="129">
        <v>64</v>
      </c>
      <c r="I163" s="130">
        <v>62</v>
      </c>
      <c r="J163" s="131">
        <v>2</v>
      </c>
      <c r="K163" s="132">
        <f t="shared" ref="K163" si="21">H163*D163</f>
        <v>0</v>
      </c>
      <c r="L163" s="30"/>
      <c r="M163" s="30"/>
    </row>
    <row r="164" spans="1:13" ht="15">
      <c r="A164" s="98"/>
      <c r="B164" s="254" t="s">
        <v>245</v>
      </c>
      <c r="C164" s="255"/>
      <c r="D164" s="255"/>
      <c r="E164" s="256"/>
      <c r="F164" s="104">
        <v>150000</v>
      </c>
      <c r="G164" s="103"/>
      <c r="H164" s="137"/>
      <c r="I164" s="137"/>
      <c r="J164" s="138"/>
      <c r="K164" s="139"/>
      <c r="L164" s="30"/>
      <c r="M164" s="30"/>
    </row>
    <row r="165" spans="1:13" ht="15">
      <c r="H165" s="126"/>
      <c r="I165" s="126"/>
      <c r="J165" s="126"/>
      <c r="K165" s="126"/>
      <c r="L165" s="30"/>
      <c r="M165" s="30"/>
    </row>
    <row r="166" spans="1:13" ht="15">
      <c r="B166" s="106" t="s">
        <v>245</v>
      </c>
      <c r="C166" s="107"/>
      <c r="D166" s="107"/>
      <c r="E166" s="107"/>
      <c r="F166" s="108">
        <f>SUM(F164,F160,F152,F138,F123,F111,F93,F66,)</f>
        <v>3329458.4000000004</v>
      </c>
      <c r="H166" s="126"/>
      <c r="I166" s="126"/>
      <c r="J166" s="126"/>
      <c r="K166" s="126"/>
      <c r="L166" s="30"/>
      <c r="M166" s="30"/>
    </row>
    <row r="167" spans="1:13" ht="15">
      <c r="H167" s="126"/>
      <c r="I167" s="126"/>
      <c r="J167" s="126"/>
      <c r="K167" s="126"/>
      <c r="L167" s="30"/>
      <c r="M167" s="30"/>
    </row>
    <row r="168" spans="1:13" ht="15">
      <c r="A168" s="94"/>
      <c r="B168" s="252" t="s">
        <v>333</v>
      </c>
      <c r="C168" s="253"/>
      <c r="D168" s="95" t="s">
        <v>213</v>
      </c>
      <c r="E168" s="95" t="s">
        <v>2</v>
      </c>
      <c r="F168" s="96" t="s">
        <v>214</v>
      </c>
      <c r="G168" s="97"/>
      <c r="H168" s="127" t="s">
        <v>385</v>
      </c>
      <c r="I168" s="127" t="s">
        <v>386</v>
      </c>
      <c r="J168" s="127" t="s">
        <v>387</v>
      </c>
      <c r="K168" s="127" t="s">
        <v>388</v>
      </c>
      <c r="L168" s="30"/>
      <c r="M168" s="30"/>
    </row>
    <row r="169" spans="1:13">
      <c r="A169" s="98"/>
      <c r="B169" s="99" t="s">
        <v>334</v>
      </c>
      <c r="C169" s="100" t="s">
        <v>335</v>
      </c>
      <c r="D169" s="101">
        <v>1</v>
      </c>
      <c r="E169" s="102">
        <v>6500</v>
      </c>
      <c r="F169" s="102">
        <f>E169*D169</f>
        <v>6500</v>
      </c>
      <c r="G169" s="103"/>
      <c r="H169" s="129"/>
      <c r="I169" s="130"/>
      <c r="J169" s="131"/>
      <c r="K169" s="132"/>
      <c r="L169" s="30"/>
      <c r="M169" s="30"/>
    </row>
    <row r="170" spans="1:13" ht="15">
      <c r="A170" s="98"/>
      <c r="B170" s="99" t="s">
        <v>336</v>
      </c>
      <c r="C170" s="100" t="s">
        <v>337</v>
      </c>
      <c r="D170" s="101">
        <v>1</v>
      </c>
      <c r="E170" s="102">
        <v>1100</v>
      </c>
      <c r="F170" s="102">
        <f>E170*D170</f>
        <v>1100</v>
      </c>
      <c r="G170" s="103"/>
      <c r="H170" s="129"/>
      <c r="I170" s="130"/>
      <c r="J170" s="131"/>
      <c r="K170" s="132"/>
      <c r="L170" s="30"/>
      <c r="M170" s="30"/>
    </row>
    <row r="171" spans="1:13">
      <c r="A171" s="98"/>
      <c r="B171" s="99" t="s">
        <v>338</v>
      </c>
      <c r="C171" s="100" t="s">
        <v>339</v>
      </c>
      <c r="D171" s="101">
        <v>1</v>
      </c>
      <c r="E171" s="102">
        <v>124</v>
      </c>
      <c r="F171" s="102">
        <f>E171*D171</f>
        <v>124</v>
      </c>
      <c r="G171" s="103"/>
      <c r="H171" s="129"/>
      <c r="I171" s="130"/>
      <c r="J171" s="131"/>
      <c r="K171" s="132"/>
      <c r="L171" s="30"/>
      <c r="M171" s="30"/>
    </row>
    <row r="172" spans="1:13" ht="15">
      <c r="A172" s="98"/>
      <c r="B172" s="99" t="s">
        <v>340</v>
      </c>
      <c r="C172" s="100" t="s">
        <v>341</v>
      </c>
      <c r="D172" s="101">
        <v>1</v>
      </c>
      <c r="E172" s="102">
        <v>223.2</v>
      </c>
      <c r="F172" s="102">
        <f t="shared" ref="F172:F173" si="22">E172*D172</f>
        <v>223.2</v>
      </c>
      <c r="G172" s="103"/>
      <c r="H172" s="129"/>
      <c r="I172" s="130"/>
      <c r="J172" s="131"/>
      <c r="K172" s="132"/>
      <c r="L172" s="30"/>
      <c r="M172" s="30"/>
    </row>
    <row r="173" spans="1:13" ht="15">
      <c r="A173" s="98"/>
      <c r="B173" s="99" t="s">
        <v>342</v>
      </c>
      <c r="C173" s="100" t="s">
        <v>343</v>
      </c>
      <c r="D173" s="101">
        <v>1</v>
      </c>
      <c r="E173" s="102">
        <v>325</v>
      </c>
      <c r="F173" s="102">
        <f t="shared" si="22"/>
        <v>325</v>
      </c>
      <c r="G173" s="103"/>
      <c r="H173" s="129"/>
      <c r="I173" s="130"/>
      <c r="J173" s="131"/>
      <c r="K173" s="132"/>
      <c r="L173" s="30"/>
      <c r="M173" s="30"/>
    </row>
    <row r="174" spans="1:13" ht="15">
      <c r="A174" s="98"/>
      <c r="B174" s="254"/>
      <c r="C174" s="255"/>
      <c r="D174" s="255"/>
      <c r="E174" s="256"/>
      <c r="F174" s="109"/>
      <c r="G174" s="103"/>
      <c r="H174" s="137"/>
      <c r="I174" s="137"/>
      <c r="J174" s="138"/>
      <c r="K174" s="139"/>
      <c r="L174" s="30"/>
      <c r="M174" s="30"/>
    </row>
    <row r="175" spans="1:13" ht="15">
      <c r="H175" s="126"/>
      <c r="I175" s="126"/>
      <c r="J175" s="126"/>
      <c r="K175" s="126"/>
      <c r="L175" s="30"/>
      <c r="M175" s="30"/>
    </row>
    <row r="176" spans="1:13" ht="15">
      <c r="A176" s="94"/>
      <c r="B176" s="252" t="s">
        <v>344</v>
      </c>
      <c r="C176" s="253"/>
      <c r="D176" s="95" t="s">
        <v>213</v>
      </c>
      <c r="E176" s="95" t="s">
        <v>2</v>
      </c>
      <c r="F176" s="96" t="s">
        <v>214</v>
      </c>
      <c r="G176" s="97"/>
      <c r="H176" s="127" t="s">
        <v>385</v>
      </c>
      <c r="I176" s="127" t="s">
        <v>386</v>
      </c>
      <c r="J176" s="127" t="s">
        <v>387</v>
      </c>
      <c r="K176" s="127" t="s">
        <v>388</v>
      </c>
      <c r="L176" s="30"/>
      <c r="M176" s="30"/>
    </row>
    <row r="177" spans="1:13" ht="60">
      <c r="A177" s="98"/>
      <c r="B177" s="99" t="s">
        <v>345</v>
      </c>
      <c r="C177" s="100" t="s">
        <v>346</v>
      </c>
      <c r="D177" s="101">
        <v>1</v>
      </c>
      <c r="E177" s="102">
        <v>70000</v>
      </c>
      <c r="F177" s="102">
        <f>E177*D177</f>
        <v>70000</v>
      </c>
      <c r="G177" s="103"/>
      <c r="H177" s="129"/>
      <c r="I177" s="130"/>
      <c r="J177" s="131"/>
      <c r="K177" s="132"/>
      <c r="L177" s="30"/>
      <c r="M177" s="30"/>
    </row>
    <row r="178" spans="1:13" ht="60">
      <c r="A178" s="98"/>
      <c r="B178" s="99" t="s">
        <v>347</v>
      </c>
      <c r="C178" s="100" t="s">
        <v>346</v>
      </c>
      <c r="D178" s="101">
        <v>1</v>
      </c>
      <c r="E178" s="102">
        <v>100000</v>
      </c>
      <c r="F178" s="102">
        <f>E178*D178</f>
        <v>100000</v>
      </c>
      <c r="G178" s="103"/>
      <c r="H178" s="129"/>
      <c r="I178" s="130"/>
      <c r="J178" s="131"/>
      <c r="K178" s="132"/>
      <c r="L178" s="30"/>
      <c r="M178" s="30"/>
    </row>
    <row r="179" spans="1:13" ht="15">
      <c r="A179" s="98"/>
      <c r="B179" s="254"/>
      <c r="C179" s="255"/>
      <c r="D179" s="255"/>
      <c r="E179" s="256"/>
      <c r="F179" s="109"/>
      <c r="G179" s="103"/>
      <c r="H179" s="137"/>
      <c r="I179" s="137"/>
      <c r="J179" s="138"/>
      <c r="K179" s="139"/>
      <c r="L179" s="30"/>
      <c r="M179" s="30"/>
    </row>
    <row r="180" spans="1:13" ht="15">
      <c r="H180" s="126"/>
      <c r="I180" s="126"/>
      <c r="J180" s="126"/>
      <c r="K180" s="126"/>
      <c r="L180" s="30"/>
      <c r="M180" s="30"/>
    </row>
    <row r="181" spans="1:13" ht="15">
      <c r="B181" s="59" t="s">
        <v>348</v>
      </c>
      <c r="H181" s="126"/>
      <c r="I181" s="126"/>
      <c r="J181" s="126"/>
      <c r="K181" s="126"/>
      <c r="L181" s="30"/>
      <c r="M181" s="30"/>
    </row>
    <row r="182" spans="1:13" ht="15">
      <c r="H182" s="126"/>
      <c r="I182" s="126"/>
      <c r="J182" s="126"/>
      <c r="K182" s="126"/>
      <c r="L182" s="30"/>
      <c r="M182" s="30"/>
    </row>
    <row r="183" spans="1:13" ht="15">
      <c r="A183" s="94"/>
      <c r="B183" s="252" t="s">
        <v>349</v>
      </c>
      <c r="C183" s="253"/>
      <c r="D183" s="95" t="s">
        <v>213</v>
      </c>
      <c r="E183" s="95" t="s">
        <v>2</v>
      </c>
      <c r="F183" s="96" t="s">
        <v>214</v>
      </c>
      <c r="G183" s="97"/>
      <c r="H183" s="127" t="s">
        <v>385</v>
      </c>
      <c r="I183" s="127" t="s">
        <v>386</v>
      </c>
      <c r="J183" s="127" t="s">
        <v>387</v>
      </c>
      <c r="K183" s="127" t="s">
        <v>388</v>
      </c>
      <c r="L183" s="30"/>
      <c r="M183" s="30"/>
    </row>
    <row r="184" spans="1:13" ht="15">
      <c r="A184" s="98"/>
      <c r="B184" s="99" t="s">
        <v>350</v>
      </c>
      <c r="C184" s="100" t="s">
        <v>351</v>
      </c>
      <c r="D184" s="101">
        <v>1</v>
      </c>
      <c r="E184" s="102">
        <f>H184*I184*J184</f>
        <v>854074.8</v>
      </c>
      <c r="F184" s="102">
        <f>E184*D184</f>
        <v>854074.8</v>
      </c>
      <c r="G184" s="103"/>
      <c r="H184" s="129">
        <v>7653</v>
      </c>
      <c r="I184" s="130">
        <v>62</v>
      </c>
      <c r="J184" s="131">
        <v>1.8</v>
      </c>
      <c r="K184" s="132">
        <f>H184*D184</f>
        <v>7653</v>
      </c>
      <c r="L184" s="30"/>
      <c r="M184" s="30"/>
    </row>
    <row r="185" spans="1:13" ht="15">
      <c r="A185" s="98"/>
      <c r="B185" s="99" t="s">
        <v>352</v>
      </c>
      <c r="C185" s="100" t="s">
        <v>353</v>
      </c>
      <c r="D185" s="101">
        <v>1</v>
      </c>
      <c r="E185" s="102">
        <f>H185*I185*J185</f>
        <v>107136</v>
      </c>
      <c r="F185" s="102">
        <f>E185*D185</f>
        <v>107136</v>
      </c>
      <c r="G185" s="103"/>
      <c r="H185" s="129">
        <v>960</v>
      </c>
      <c r="I185" s="130">
        <v>62</v>
      </c>
      <c r="J185" s="131">
        <v>1.8</v>
      </c>
      <c r="K185" s="132">
        <f>H185*D185</f>
        <v>960</v>
      </c>
      <c r="L185" s="30"/>
      <c r="M185" s="30"/>
    </row>
    <row r="186" spans="1:13">
      <c r="A186" s="98"/>
      <c r="B186" s="99" t="s">
        <v>354</v>
      </c>
      <c r="C186" s="100" t="s">
        <v>355</v>
      </c>
      <c r="D186" s="101">
        <v>1</v>
      </c>
      <c r="E186" s="102">
        <f>H186*I186*J186</f>
        <v>84816</v>
      </c>
      <c r="F186" s="102">
        <f>E186*D186</f>
        <v>84816</v>
      </c>
      <c r="G186" s="103"/>
      <c r="H186" s="129">
        <v>760</v>
      </c>
      <c r="I186" s="130">
        <v>62</v>
      </c>
      <c r="J186" s="131">
        <v>1.8</v>
      </c>
      <c r="K186" s="132">
        <f>H186*D186</f>
        <v>760</v>
      </c>
      <c r="L186" s="30"/>
      <c r="M186" s="30"/>
    </row>
    <row r="187" spans="1:13">
      <c r="A187" s="98"/>
      <c r="B187" s="99" t="s">
        <v>356</v>
      </c>
      <c r="C187" s="100" t="s">
        <v>357</v>
      </c>
      <c r="D187" s="101">
        <v>1</v>
      </c>
      <c r="E187" s="102">
        <f t="shared" ref="E187:E190" si="23">H187*I187*J187</f>
        <v>209808</v>
      </c>
      <c r="F187" s="102">
        <f t="shared" ref="F187:F190" si="24">E187*D187</f>
        <v>209808</v>
      </c>
      <c r="G187" s="103"/>
      <c r="H187" s="129">
        <v>1880</v>
      </c>
      <c r="I187" s="130">
        <v>62</v>
      </c>
      <c r="J187" s="131">
        <v>1.8</v>
      </c>
      <c r="K187" s="132">
        <f t="shared" ref="K187:K190" si="25">H187*D187</f>
        <v>1880</v>
      </c>
      <c r="L187" s="30"/>
      <c r="M187" s="30"/>
    </row>
    <row r="188" spans="1:13" ht="15">
      <c r="A188" s="98"/>
      <c r="B188" s="99" t="s">
        <v>358</v>
      </c>
      <c r="C188" s="100" t="s">
        <v>359</v>
      </c>
      <c r="D188" s="101">
        <v>1</v>
      </c>
      <c r="E188" s="102">
        <f t="shared" si="23"/>
        <v>84927.6</v>
      </c>
      <c r="F188" s="102">
        <f t="shared" si="24"/>
        <v>84927.6</v>
      </c>
      <c r="G188" s="103"/>
      <c r="H188" s="129">
        <v>761</v>
      </c>
      <c r="I188" s="130">
        <v>62</v>
      </c>
      <c r="J188" s="131">
        <v>1.8</v>
      </c>
      <c r="K188" s="132">
        <f t="shared" si="25"/>
        <v>761</v>
      </c>
      <c r="L188" s="30"/>
      <c r="M188" s="30"/>
    </row>
    <row r="189" spans="1:13">
      <c r="A189" s="98"/>
      <c r="B189" s="99" t="s">
        <v>360</v>
      </c>
      <c r="C189" s="100" t="s">
        <v>361</v>
      </c>
      <c r="D189" s="101">
        <v>1</v>
      </c>
      <c r="E189" s="102">
        <f t="shared" si="23"/>
        <v>112716</v>
      </c>
      <c r="F189" s="102">
        <f t="shared" si="24"/>
        <v>112716</v>
      </c>
      <c r="G189" s="103"/>
      <c r="H189" s="129">
        <v>1010</v>
      </c>
      <c r="I189" s="130">
        <v>62</v>
      </c>
      <c r="J189" s="131">
        <v>1.8</v>
      </c>
      <c r="K189" s="132">
        <f t="shared" si="25"/>
        <v>1010</v>
      </c>
      <c r="L189" s="30"/>
      <c r="M189" s="30"/>
    </row>
    <row r="190" spans="1:13" ht="15">
      <c r="A190" s="98"/>
      <c r="B190" s="99" t="s">
        <v>362</v>
      </c>
      <c r="C190" s="100" t="s">
        <v>363</v>
      </c>
      <c r="D190" s="101">
        <v>1</v>
      </c>
      <c r="E190" s="102">
        <f t="shared" si="23"/>
        <v>47541.599999999999</v>
      </c>
      <c r="F190" s="102">
        <f t="shared" si="24"/>
        <v>47541.599999999999</v>
      </c>
      <c r="G190" s="103"/>
      <c r="H190" s="129">
        <v>426</v>
      </c>
      <c r="I190" s="130">
        <v>62</v>
      </c>
      <c r="J190" s="131">
        <v>1.8</v>
      </c>
      <c r="K190" s="132">
        <f t="shared" si="25"/>
        <v>426</v>
      </c>
      <c r="L190" s="30"/>
      <c r="M190" s="30"/>
    </row>
    <row r="191" spans="1:13" ht="15">
      <c r="A191" s="98"/>
      <c r="B191" s="254" t="s">
        <v>245</v>
      </c>
      <c r="C191" s="255"/>
      <c r="D191" s="255"/>
      <c r="E191" s="256"/>
      <c r="F191" s="104">
        <f>SUM(F184:F190)</f>
        <v>1501020.0000000002</v>
      </c>
      <c r="G191" s="103"/>
      <c r="H191" s="137"/>
      <c r="I191" s="137"/>
      <c r="J191" s="138"/>
      <c r="K191" s="139"/>
      <c r="L191" s="30"/>
      <c r="M191" s="30"/>
    </row>
    <row r="192" spans="1:13" ht="15">
      <c r="H192" s="126"/>
      <c r="I192" s="126"/>
      <c r="J192" s="126"/>
      <c r="K192" s="126"/>
      <c r="L192" s="30"/>
      <c r="M192" s="30"/>
    </row>
    <row r="193" spans="1:13" ht="15">
      <c r="A193" s="94"/>
      <c r="B193" s="252" t="s">
        <v>364</v>
      </c>
      <c r="C193" s="253"/>
      <c r="D193" s="95" t="s">
        <v>213</v>
      </c>
      <c r="E193" s="95" t="s">
        <v>2</v>
      </c>
      <c r="F193" s="96" t="s">
        <v>214</v>
      </c>
      <c r="G193" s="97"/>
      <c r="H193" s="127" t="s">
        <v>385</v>
      </c>
      <c r="I193" s="127" t="s">
        <v>386</v>
      </c>
      <c r="J193" s="127" t="s">
        <v>387</v>
      </c>
      <c r="K193" s="127" t="s">
        <v>388</v>
      </c>
      <c r="L193" s="30"/>
      <c r="M193" s="30"/>
    </row>
    <row r="194" spans="1:13">
      <c r="A194" s="98"/>
      <c r="B194" s="99" t="s">
        <v>365</v>
      </c>
      <c r="C194" s="100" t="s">
        <v>366</v>
      </c>
      <c r="D194" s="101">
        <v>1</v>
      </c>
      <c r="E194" s="102">
        <f>H194*I194*J194</f>
        <v>62496</v>
      </c>
      <c r="F194" s="102">
        <f>E194*D194</f>
        <v>62496</v>
      </c>
      <c r="G194" s="103"/>
      <c r="H194" s="129">
        <v>560</v>
      </c>
      <c r="I194" s="130">
        <v>62</v>
      </c>
      <c r="J194" s="131">
        <v>1.8</v>
      </c>
      <c r="K194" s="132">
        <f>H194*D194</f>
        <v>560</v>
      </c>
      <c r="L194" s="30"/>
      <c r="M194" s="30"/>
    </row>
    <row r="195" spans="1:13">
      <c r="A195" s="98"/>
      <c r="B195" s="99" t="s">
        <v>367</v>
      </c>
      <c r="C195" s="100" t="s">
        <v>368</v>
      </c>
      <c r="D195" s="101">
        <v>1</v>
      </c>
      <c r="E195" s="102">
        <f>H195*I195*J195</f>
        <v>72540</v>
      </c>
      <c r="F195" s="102">
        <f>E195*D195</f>
        <v>72540</v>
      </c>
      <c r="G195" s="103"/>
      <c r="H195" s="129">
        <v>650</v>
      </c>
      <c r="I195" s="130">
        <v>62</v>
      </c>
      <c r="J195" s="131">
        <v>1.8</v>
      </c>
      <c r="K195" s="132">
        <f>H195*D195</f>
        <v>650</v>
      </c>
      <c r="L195" s="30"/>
      <c r="M195" s="30"/>
    </row>
    <row r="196" spans="1:13">
      <c r="A196" s="98"/>
      <c r="B196" s="99" t="s">
        <v>369</v>
      </c>
      <c r="C196" s="100" t="s">
        <v>370</v>
      </c>
      <c r="D196" s="101">
        <v>1</v>
      </c>
      <c r="E196" s="102">
        <f>H196*I196*J196</f>
        <v>311364</v>
      </c>
      <c r="F196" s="102">
        <f>E196*D196</f>
        <v>311364</v>
      </c>
      <c r="G196" s="103"/>
      <c r="H196" s="129">
        <v>2790</v>
      </c>
      <c r="I196" s="130">
        <v>62</v>
      </c>
      <c r="J196" s="131">
        <v>1.8</v>
      </c>
      <c r="K196" s="132">
        <f>H196*D196</f>
        <v>2790</v>
      </c>
      <c r="L196" s="30"/>
      <c r="M196" s="30"/>
    </row>
    <row r="197" spans="1:13" ht="15">
      <c r="A197" s="98"/>
      <c r="B197" s="254" t="s">
        <v>245</v>
      </c>
      <c r="C197" s="255"/>
      <c r="D197" s="255"/>
      <c r="E197" s="256"/>
      <c r="F197" s="104">
        <f>SUM(F194:F196)</f>
        <v>446400</v>
      </c>
      <c r="G197" s="103"/>
      <c r="H197" s="137"/>
      <c r="I197" s="137"/>
      <c r="J197" s="138"/>
      <c r="K197" s="139"/>
      <c r="L197" s="30"/>
      <c r="M197" s="30"/>
    </row>
    <row r="198" spans="1:13" ht="15">
      <c r="H198" s="126"/>
      <c r="I198" s="126"/>
      <c r="J198" s="126"/>
      <c r="K198" s="126"/>
      <c r="L198" s="30"/>
      <c r="M198" s="30"/>
    </row>
    <row r="199" spans="1:13" ht="15">
      <c r="B199" s="30" t="s">
        <v>371</v>
      </c>
      <c r="H199" s="126"/>
      <c r="I199" s="126"/>
      <c r="J199" s="126"/>
      <c r="K199" s="126"/>
      <c r="L199" s="30"/>
      <c r="M199" s="30"/>
    </row>
    <row r="200" spans="1:13" ht="15">
      <c r="H200" s="126"/>
      <c r="I200" s="126"/>
      <c r="J200" s="126"/>
      <c r="K200" s="126"/>
      <c r="L200" s="30"/>
      <c r="M200" s="30"/>
    </row>
    <row r="201" spans="1:13" ht="15">
      <c r="A201" s="94"/>
      <c r="B201" s="252" t="s">
        <v>372</v>
      </c>
      <c r="C201" s="253"/>
      <c r="D201" s="95" t="s">
        <v>213</v>
      </c>
      <c r="E201" s="95" t="s">
        <v>2</v>
      </c>
      <c r="F201" s="96" t="s">
        <v>214</v>
      </c>
      <c r="G201" s="97"/>
      <c r="H201" s="127" t="s">
        <v>385</v>
      </c>
      <c r="I201" s="127" t="s">
        <v>386</v>
      </c>
      <c r="J201" s="127" t="s">
        <v>387</v>
      </c>
      <c r="K201" s="127" t="s">
        <v>388</v>
      </c>
      <c r="L201" s="30"/>
      <c r="M201" s="30"/>
    </row>
    <row r="202" spans="1:13" ht="150">
      <c r="A202" s="98"/>
      <c r="B202" s="99" t="s">
        <v>373</v>
      </c>
      <c r="C202" s="100" t="s">
        <v>374</v>
      </c>
      <c r="D202" s="101">
        <v>1</v>
      </c>
      <c r="E202" s="102">
        <f>H202*I202*J202</f>
        <v>236034</v>
      </c>
      <c r="F202" s="102">
        <f>E202*D202</f>
        <v>236034</v>
      </c>
      <c r="G202" s="103"/>
      <c r="H202" s="129">
        <v>2115</v>
      </c>
      <c r="I202" s="130">
        <v>62</v>
      </c>
      <c r="J202" s="131">
        <v>1.8</v>
      </c>
      <c r="K202" s="132">
        <f>H202*D202</f>
        <v>2115</v>
      </c>
      <c r="L202" s="30"/>
      <c r="M202" s="30"/>
    </row>
    <row r="203" spans="1:13" ht="180">
      <c r="A203" s="98"/>
      <c r="B203" s="99" t="s">
        <v>375</v>
      </c>
      <c r="C203" s="100" t="s">
        <v>376</v>
      </c>
      <c r="D203" s="101">
        <v>1</v>
      </c>
      <c r="E203" s="102">
        <f>H203*I203*J203</f>
        <v>424080</v>
      </c>
      <c r="F203" s="102">
        <f>E203*D203</f>
        <v>424080</v>
      </c>
      <c r="G203" s="103"/>
      <c r="H203" s="129">
        <v>3800</v>
      </c>
      <c r="I203" s="130">
        <v>62</v>
      </c>
      <c r="J203" s="131">
        <v>1.8</v>
      </c>
      <c r="K203" s="132">
        <f>H203*D203</f>
        <v>3800</v>
      </c>
      <c r="L203" s="30"/>
      <c r="M203" s="30"/>
    </row>
    <row r="204" spans="1:13">
      <c r="A204" s="98"/>
      <c r="B204" s="99" t="s">
        <v>377</v>
      </c>
      <c r="C204" s="100" t="s">
        <v>378</v>
      </c>
      <c r="D204" s="101">
        <v>2</v>
      </c>
      <c r="E204" s="102">
        <f>H204*I204*J204</f>
        <v>89094</v>
      </c>
      <c r="F204" s="102">
        <f>E204*D204</f>
        <v>178188</v>
      </c>
      <c r="G204" s="103"/>
      <c r="H204" s="129">
        <v>958</v>
      </c>
      <c r="I204" s="130">
        <v>62</v>
      </c>
      <c r="J204" s="131">
        <v>1.5</v>
      </c>
      <c r="K204" s="132">
        <f>H204*D204</f>
        <v>1916</v>
      </c>
      <c r="L204" s="30"/>
      <c r="M204" s="30"/>
    </row>
    <row r="205" spans="1:13" ht="15">
      <c r="A205" s="98"/>
      <c r="B205" s="99" t="s">
        <v>379</v>
      </c>
      <c r="C205" s="100" t="s">
        <v>380</v>
      </c>
      <c r="D205" s="101">
        <v>2</v>
      </c>
      <c r="E205" s="102">
        <f t="shared" ref="E205:E206" si="26">H205*I205*J205</f>
        <v>3906</v>
      </c>
      <c r="F205" s="102">
        <f t="shared" ref="F205:F206" si="27">E205*D205</f>
        <v>7812</v>
      </c>
      <c r="G205" s="103"/>
      <c r="H205" s="129">
        <v>35</v>
      </c>
      <c r="I205" s="130">
        <v>62</v>
      </c>
      <c r="J205" s="131">
        <v>1.8</v>
      </c>
      <c r="K205" s="132">
        <f t="shared" ref="K205:K206" si="28">H205*D205</f>
        <v>70</v>
      </c>
      <c r="L205" s="30"/>
      <c r="M205" s="30"/>
    </row>
    <row r="206" spans="1:13" ht="15">
      <c r="A206" s="98"/>
      <c r="B206" s="99" t="s">
        <v>381</v>
      </c>
      <c r="C206" s="100" t="s">
        <v>382</v>
      </c>
      <c r="D206" s="101">
        <v>2</v>
      </c>
      <c r="E206" s="102">
        <f t="shared" si="26"/>
        <v>30355.200000000001</v>
      </c>
      <c r="F206" s="102">
        <f t="shared" si="27"/>
        <v>60710.400000000001</v>
      </c>
      <c r="G206" s="103"/>
      <c r="H206" s="129">
        <v>272</v>
      </c>
      <c r="I206" s="130">
        <v>62</v>
      </c>
      <c r="J206" s="131">
        <v>1.8</v>
      </c>
      <c r="K206" s="132">
        <f t="shared" si="28"/>
        <v>544</v>
      </c>
      <c r="L206" s="30"/>
      <c r="M206" s="30"/>
    </row>
    <row r="207" spans="1:13" ht="15">
      <c r="A207" s="98"/>
      <c r="B207" s="254" t="s">
        <v>245</v>
      </c>
      <c r="C207" s="255"/>
      <c r="D207" s="255"/>
      <c r="E207" s="256"/>
      <c r="F207" s="104">
        <f>SUM(F202:F206)</f>
        <v>906824.4</v>
      </c>
      <c r="G207" s="103"/>
      <c r="H207" s="137"/>
      <c r="I207" s="137"/>
      <c r="J207" s="138"/>
      <c r="K207" s="139"/>
      <c r="L207" s="30"/>
      <c r="M207" s="30"/>
    </row>
    <row r="208" spans="1:13" ht="15">
      <c r="H208" s="126"/>
      <c r="I208" s="126"/>
      <c r="J208" s="126"/>
      <c r="K208" s="126"/>
      <c r="L208" s="30"/>
      <c r="M208" s="30"/>
    </row>
    <row r="209" spans="1:13" ht="15">
      <c r="A209" s="94"/>
      <c r="B209" s="252" t="s">
        <v>383</v>
      </c>
      <c r="C209" s="253"/>
      <c r="D209" s="95" t="s">
        <v>213</v>
      </c>
      <c r="E209" s="95" t="s">
        <v>2</v>
      </c>
      <c r="F209" s="96" t="s">
        <v>214</v>
      </c>
      <c r="G209" s="97"/>
      <c r="H209" s="127" t="s">
        <v>385</v>
      </c>
      <c r="I209" s="127" t="s">
        <v>386</v>
      </c>
      <c r="J209" s="127" t="s">
        <v>387</v>
      </c>
      <c r="K209" s="127" t="s">
        <v>388</v>
      </c>
      <c r="L209" s="30"/>
      <c r="M209" s="30"/>
    </row>
    <row r="210" spans="1:13" ht="15">
      <c r="A210" s="98"/>
      <c r="B210" s="99" t="s">
        <v>237</v>
      </c>
      <c r="C210" s="100" t="s">
        <v>238</v>
      </c>
      <c r="D210" s="101">
        <v>2</v>
      </c>
      <c r="E210" s="102">
        <f t="shared" ref="E210:E211" si="29">H210*I210*J210</f>
        <v>128786.40000000001</v>
      </c>
      <c r="F210" s="102">
        <f t="shared" ref="F210:F211" si="30">E210*D210</f>
        <v>257572.80000000002</v>
      </c>
      <c r="G210" s="103"/>
      <c r="H210" s="129">
        <v>1154</v>
      </c>
      <c r="I210" s="130">
        <v>62</v>
      </c>
      <c r="J210" s="131">
        <v>1.8</v>
      </c>
      <c r="K210" s="132">
        <f t="shared" ref="K210:K211" si="31">H210*D210</f>
        <v>2308</v>
      </c>
      <c r="L210" s="30"/>
      <c r="M210" s="30"/>
    </row>
    <row r="211" spans="1:13">
      <c r="A211" s="98"/>
      <c r="B211" s="99" t="s">
        <v>239</v>
      </c>
      <c r="C211" s="100" t="s">
        <v>240</v>
      </c>
      <c r="D211" s="101">
        <v>2</v>
      </c>
      <c r="E211" s="102">
        <f t="shared" si="29"/>
        <v>14284.800000000001</v>
      </c>
      <c r="F211" s="102">
        <f t="shared" si="30"/>
        <v>28569.600000000002</v>
      </c>
      <c r="G211" s="103"/>
      <c r="H211" s="129">
        <v>128</v>
      </c>
      <c r="I211" s="130">
        <v>62</v>
      </c>
      <c r="J211" s="131">
        <v>1.8</v>
      </c>
      <c r="K211" s="132">
        <f t="shared" si="31"/>
        <v>256</v>
      </c>
      <c r="L211" s="30"/>
      <c r="M211" s="30"/>
    </row>
    <row r="212" spans="1:13" ht="15">
      <c r="A212" s="98"/>
      <c r="B212" s="254" t="s">
        <v>245</v>
      </c>
      <c r="C212" s="255"/>
      <c r="D212" s="255"/>
      <c r="E212" s="256"/>
      <c r="F212" s="104">
        <f>SUM(F210:F211)</f>
        <v>286142.40000000002</v>
      </c>
      <c r="G212" s="103"/>
      <c r="H212" s="137"/>
      <c r="I212" s="137"/>
      <c r="J212" s="138"/>
      <c r="K212" s="139"/>
      <c r="L212" s="30"/>
      <c r="M212" s="30"/>
    </row>
    <row r="213" spans="1:13" ht="15"/>
  </sheetData>
  <sheetProtection algorithmName="SHA-512" hashValue="Q3XNIzW5D+l3lZOeK0lZV7hEet17/Z8jmFxL4KO797l+mPlIIR7F+ozFfDuIctC9gMwZJX47RFpTkM8uSKT9PQ==" saltValue="3G6gLgMBjcKQEQ8Ln5l9zA==" spinCount="100000" sheet="1" objects="1" scenarios="1"/>
  <dataConsolidate/>
  <mergeCells count="53">
    <mergeCell ref="B201:C201"/>
    <mergeCell ref="B207:E207"/>
    <mergeCell ref="B209:C209"/>
    <mergeCell ref="B212:E212"/>
    <mergeCell ref="B176:C176"/>
    <mergeCell ref="B179:E179"/>
    <mergeCell ref="B183:C183"/>
    <mergeCell ref="B191:E191"/>
    <mergeCell ref="B193:C193"/>
    <mergeCell ref="B197:E197"/>
    <mergeCell ref="B174:E174"/>
    <mergeCell ref="B154:C154"/>
    <mergeCell ref="B155:C155"/>
    <mergeCell ref="B156:C156"/>
    <mergeCell ref="B157:C157"/>
    <mergeCell ref="B158:C158"/>
    <mergeCell ref="B159:C159"/>
    <mergeCell ref="B160:E160"/>
    <mergeCell ref="B162:E162"/>
    <mergeCell ref="B163:E163"/>
    <mergeCell ref="B164:E164"/>
    <mergeCell ref="B168:C168"/>
    <mergeCell ref="B152:E152"/>
    <mergeCell ref="B50:C50"/>
    <mergeCell ref="B66:E66"/>
    <mergeCell ref="B68:C68"/>
    <mergeCell ref="B93:E93"/>
    <mergeCell ref="B95:C95"/>
    <mergeCell ref="B111:E111"/>
    <mergeCell ref="B113:C113"/>
    <mergeCell ref="B123:E123"/>
    <mergeCell ref="B125:C125"/>
    <mergeCell ref="B138:E138"/>
    <mergeCell ref="B140:C140"/>
    <mergeCell ref="D42:F42"/>
    <mergeCell ref="C6:D6"/>
    <mergeCell ref="H6:J7"/>
    <mergeCell ref="C7:D7"/>
    <mergeCell ref="C8:D8"/>
    <mergeCell ref="C9:D9"/>
    <mergeCell ref="B10:F10"/>
    <mergeCell ref="I10:J10"/>
    <mergeCell ref="H11:K28"/>
    <mergeCell ref="I29:J29"/>
    <mergeCell ref="I30:J30"/>
    <mergeCell ref="I31:J31"/>
    <mergeCell ref="I33:J33"/>
    <mergeCell ref="H5:J5"/>
    <mergeCell ref="B1:D1"/>
    <mergeCell ref="B2:D2"/>
    <mergeCell ref="B3:D3"/>
    <mergeCell ref="E3:F3"/>
    <mergeCell ref="B4:D4"/>
  </mergeCells>
  <conditionalFormatting sqref="D51:D65 D69:D92 D96:D110 D114:D122 D155:D159">
    <cfRule type="cellIs" dxfId="17" priority="9" operator="equal">
      <formula>0</formula>
    </cfRule>
  </conditionalFormatting>
  <conditionalFormatting sqref="D126:D137">
    <cfRule type="cellIs" dxfId="16" priority="8" operator="equal">
      <formula>0</formula>
    </cfRule>
  </conditionalFormatting>
  <conditionalFormatting sqref="D141:D151">
    <cfRule type="cellIs" dxfId="15" priority="7" operator="equal">
      <formula>0</formula>
    </cfRule>
  </conditionalFormatting>
  <conditionalFormatting sqref="D169:D173">
    <cfRule type="cellIs" dxfId="14" priority="6" operator="equal">
      <formula>0</formula>
    </cfRule>
  </conditionalFormatting>
  <conditionalFormatting sqref="D177:D178">
    <cfRule type="cellIs" dxfId="13" priority="5" operator="equal">
      <formula>0</formula>
    </cfRule>
  </conditionalFormatting>
  <conditionalFormatting sqref="D184:D190">
    <cfRule type="cellIs" dxfId="12" priority="4" operator="equal">
      <formula>0</formula>
    </cfRule>
  </conditionalFormatting>
  <conditionalFormatting sqref="D194:D196">
    <cfRule type="cellIs" dxfId="11" priority="3" operator="equal">
      <formula>0</formula>
    </cfRule>
  </conditionalFormatting>
  <conditionalFormatting sqref="D202:D206">
    <cfRule type="cellIs" dxfId="10" priority="2" operator="equal">
      <formula>0</formula>
    </cfRule>
  </conditionalFormatting>
  <conditionalFormatting sqref="D210:D211">
    <cfRule type="cellIs" dxfId="9" priority="1" operator="equal">
      <formula>0</formula>
    </cfRule>
  </conditionalFormatting>
  <dataValidations count="28">
    <dataValidation allowBlank="1" showInputMessage="1" showErrorMessage="1" prompt="Append company Contact Name, Phone Number, and Email address in this cell" sqref="B40:D40 F40"/>
    <dataValidation allowBlank="1" showInputMessage="1" showErrorMessage="1" prompt="Enter customer Phone number in this cell" sqref="B6:C6"/>
    <dataValidation allowBlank="1" showInputMessage="1" showErrorMessage="1" prompt="Enter customer City, State, and Zip Code in this cell" sqref="B7:C7"/>
    <dataValidation allowBlank="1" showInputMessage="1" showErrorMessage="1" prompt="Enter customer Street Address in this cell" sqref="B5:C5"/>
    <dataValidation allowBlank="1" showInputMessage="1" showErrorMessage="1" prompt="Enter customer Company Name in this cell" sqref="B9:C9"/>
    <dataValidation allowBlank="1" showInputMessage="1" showErrorMessage="1" prompt="Enter customer Name in this cell" sqref="B8:C8"/>
    <dataValidation allowBlank="1" showInputMessage="1" showErrorMessage="1" prompt="Enter company Street Address in this cell" sqref="B2"/>
    <dataValidation allowBlank="1" showInputMessage="1" showErrorMessage="1" prompt="Enter Company Name in this cell and slogan in cell below. Quotation title is in cell at right" sqref="B1:D1"/>
    <dataValidation allowBlank="1" showInputMessage="1" showErrorMessage="1" prompt="Enter Quotation end date in cell at right" sqref="E4"/>
    <dataValidation allowBlank="1" showInputMessage="1" showErrorMessage="1" prompt="Enter Prepared by name in cell at right" sqref="E5"/>
    <dataValidation allowBlank="1" showInputMessage="1" showErrorMessage="1" prompt="Enter Quotation number in this cell" sqref="F2"/>
    <dataValidation allowBlank="1" showInputMessage="1" showErrorMessage="1" prompt="Enter Quotation end date in this cell" sqref="F4"/>
    <dataValidation allowBlank="1" showInputMessage="1" showErrorMessage="1" prompt="Enter Prepared by name in this cell" sqref="F5:F6 F8"/>
    <dataValidation allowBlank="1" showInputMessage="1" showErrorMessage="1" prompt="Enter Tax Rate in this cell" sqref="F30"/>
    <dataValidation allowBlank="1" showInputMessage="1" showErrorMessage="1" prompt="Enter Tax Rate in cell at right" sqref="E30"/>
    <dataValidation allowBlank="1" showInputMessage="1" showErrorMessage="1" prompt="Sales Tax amount is automatically calculated in cell at right" sqref="E31"/>
    <dataValidation allowBlank="1" showInputMessage="1" showErrorMessage="1" prompt="Enter Other amount in cell at right" sqref="E32"/>
    <dataValidation allowBlank="1" showInputMessage="1" showErrorMessage="1" prompt="Total due is automatically calculated in this cell" sqref="F31:F32"/>
    <dataValidation allowBlank="1" showInputMessage="1" showErrorMessage="1" prompt="Total due is automatically calculated in cell at right" sqref="E33:E34"/>
    <dataValidation allowBlank="1" showInputMessage="1" showErrorMessage="1" prompt="Create a Price quote with tax calculation in this worksheet. Enter company, customer, quotation, shipping, and product details. Total due is automatically calculated" sqref="A1"/>
    <dataValidation allowBlank="1" showInputMessage="1" showErrorMessage="1" prompt="Enter 'T' for taxable items in this column under this heading" sqref="E11"/>
    <dataValidation allowBlank="1" showInputMessage="1" showErrorMessage="1" prompt="Amount is automatically calculated in this column under this heading and Subtotal is automatically calculated at the end of the table" sqref="F11"/>
    <dataValidation allowBlank="1" showInputMessage="1" showErrorMessage="1" prompt="Enter Unit Price in this column under this heading" sqref="D11"/>
    <dataValidation allowBlank="1" showInputMessage="1" showErrorMessage="1" prompt="Enter Description in this column under this heading" sqref="C11"/>
    <dataValidation allowBlank="1" showInputMessage="1" showErrorMessage="1" prompt="Enter Quantity in this column under this heading" sqref="B11"/>
    <dataValidation allowBlank="1" showInputMessage="1" showErrorMessage="1" prompt="Enter Comments or Special Instructions in cell at right" sqref="B10"/>
    <dataValidation allowBlank="1" showInputMessage="1" showErrorMessage="1" prompt="Enter customer Name, Company Name, Street Address, and Phone number in cells below, from cell B8 through B12, Quotation end date in cell G7 and Prepared by name in cell G8" sqref="B4:C4"/>
    <dataValidation allowBlank="1" showInputMessage="1" showErrorMessage="1" prompt="Enter company Phone and Fax numbers in this cell" sqref="B3:C3"/>
  </dataValidations>
  <printOptions horizontalCentered="1"/>
  <pageMargins left="0.7" right="0.7" top="0.75" bottom="0.75" header="0.3" footer="0.3"/>
  <pageSetup scale="78" fitToHeight="0" orientation="portrait" r:id="rId1"/>
  <headerFooter differentFirst="1">
    <oddFooter>Page &amp;P of &amp;N</oddFooter>
  </headerFooter>
  <rowBreaks count="1" manualBreakCount="1">
    <brk id="43" max="6" man="1"/>
  </rowBreaks>
  <drawing r:id="rId2"/>
  <legacyDrawing r:id="rId3"/>
  <controls>
    <mc:AlternateContent xmlns:mc="http://schemas.openxmlformats.org/markup-compatibility/2006">
      <mc:Choice Requires="x14">
        <control shapeId="5122" r:id="rId4" name="cmdRevise">
          <controlPr defaultSize="0" autoLine="0" r:id="rId5">
            <anchor moveWithCells="1">
              <from>
                <xdr:col>7</xdr:col>
                <xdr:colOff>304800</xdr:colOff>
                <xdr:row>6</xdr:row>
                <xdr:rowOff>390525</xdr:rowOff>
              </from>
              <to>
                <xdr:col>9</xdr:col>
                <xdr:colOff>361950</xdr:colOff>
                <xdr:row>8</xdr:row>
                <xdr:rowOff>28575</xdr:rowOff>
              </to>
            </anchor>
          </controlPr>
        </control>
      </mc:Choice>
      <mc:Fallback>
        <control shapeId="5122" r:id="rId4" name="cmdRevise"/>
      </mc:Fallback>
    </mc:AlternateContent>
    <mc:AlternateContent xmlns:mc="http://schemas.openxmlformats.org/markup-compatibility/2006">
      <mc:Choice Requires="x14">
        <control shapeId="5121" r:id="rId6" name="cmdSendtoDash">
          <controlPr defaultSize="0" disabled="1" autoLine="0" r:id="rId7">
            <anchor moveWithCells="1">
              <from>
                <xdr:col>7</xdr:col>
                <xdr:colOff>304800</xdr:colOff>
                <xdr:row>2</xdr:row>
                <xdr:rowOff>180975</xdr:rowOff>
              </from>
              <to>
                <xdr:col>9</xdr:col>
                <xdr:colOff>361950</xdr:colOff>
                <xdr:row>3</xdr:row>
                <xdr:rowOff>123825</xdr:rowOff>
              </to>
            </anchor>
          </controlPr>
        </control>
      </mc:Choice>
      <mc:Fallback>
        <control shapeId="5121" r:id="rId6" name="cmdSendtoDas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pageSetUpPr fitToPage="1"/>
  </sheetPr>
  <dimension ref="A1:M213"/>
  <sheetViews>
    <sheetView showGridLines="0" zoomScale="90" zoomScaleNormal="90" zoomScaleSheetLayoutView="100" zoomScalePageLayoutView="55" workbookViewId="0">
      <selection activeCell="C5" sqref="C5"/>
    </sheetView>
  </sheetViews>
  <sheetFormatPr defaultRowHeight="30" customHeight="1"/>
  <cols>
    <col min="1" max="1" width="2.125" style="30" customWidth="1"/>
    <col min="2" max="2" width="19.5" style="30" customWidth="1"/>
    <col min="3" max="3" width="32.375" style="30" customWidth="1"/>
    <col min="4" max="4" width="12.125" style="30" bestFit="1" customWidth="1"/>
    <col min="5" max="6" width="19.125" style="30" customWidth="1"/>
    <col min="7" max="7" width="2.25" style="30" customWidth="1"/>
    <col min="8" max="8" width="13.75" style="112" bestFit="1" customWidth="1"/>
    <col min="9" max="10" width="9" style="112"/>
    <col min="11" max="16384" width="9" style="2"/>
  </cols>
  <sheetData>
    <row r="1" spans="1:13" ht="45.75" customHeight="1">
      <c r="A1" s="29"/>
      <c r="B1" s="236" t="s">
        <v>6</v>
      </c>
      <c r="C1" s="236"/>
      <c r="D1" s="236"/>
      <c r="K1" s="15"/>
    </row>
    <row r="2" spans="1:13" ht="31.5" customHeight="1">
      <c r="B2" s="238" t="s">
        <v>9</v>
      </c>
      <c r="C2" s="238"/>
      <c r="D2" s="238"/>
      <c r="E2" s="31"/>
      <c r="K2" s="15"/>
    </row>
    <row r="3" spans="1:13" ht="30" customHeight="1">
      <c r="B3" s="237" t="s">
        <v>8</v>
      </c>
      <c r="C3" s="237"/>
      <c r="D3" s="237"/>
      <c r="E3" s="243"/>
      <c r="F3" s="243"/>
      <c r="H3" s="147">
        <v>1</v>
      </c>
      <c r="I3" s="113"/>
      <c r="J3" s="114"/>
      <c r="K3" s="15"/>
    </row>
    <row r="4" spans="1:13" ht="15" customHeight="1">
      <c r="B4" s="244" t="s">
        <v>390</v>
      </c>
      <c r="C4" s="244"/>
      <c r="D4" s="244"/>
      <c r="E4" s="32"/>
      <c r="F4" s="33"/>
      <c r="H4" s="115"/>
      <c r="I4" s="116"/>
      <c r="J4" s="117"/>
      <c r="K4" s="15"/>
    </row>
    <row r="5" spans="1:13" ht="15.75">
      <c r="B5" s="34" t="s">
        <v>191</v>
      </c>
      <c r="C5" s="35" t="s">
        <v>464</v>
      </c>
      <c r="D5" s="148"/>
      <c r="E5" s="37" t="s">
        <v>192</v>
      </c>
      <c r="F5" s="111" t="s">
        <v>471</v>
      </c>
      <c r="H5" s="240" t="s">
        <v>161</v>
      </c>
      <c r="I5" s="241"/>
      <c r="J5" s="242"/>
      <c r="K5" s="15"/>
    </row>
    <row r="6" spans="1:13" ht="15">
      <c r="B6" s="38" t="s">
        <v>193</v>
      </c>
      <c r="C6" s="245" t="s">
        <v>465</v>
      </c>
      <c r="D6" s="245"/>
      <c r="E6" s="37" t="s">
        <v>194</v>
      </c>
      <c r="F6" s="39">
        <f>F8+90</f>
        <v>43626</v>
      </c>
      <c r="H6" s="240"/>
      <c r="I6" s="241"/>
      <c r="J6" s="242"/>
      <c r="K6" s="15"/>
    </row>
    <row r="7" spans="1:13" ht="39" customHeight="1">
      <c r="B7" s="40" t="s">
        <v>195</v>
      </c>
      <c r="C7" s="246" t="s">
        <v>466</v>
      </c>
      <c r="D7" s="246"/>
      <c r="E7" s="40"/>
      <c r="F7" s="41"/>
      <c r="H7" s="240"/>
      <c r="I7" s="241"/>
      <c r="J7" s="242"/>
      <c r="K7" s="15"/>
    </row>
    <row r="8" spans="1:13" ht="15">
      <c r="B8" s="42" t="s">
        <v>10</v>
      </c>
      <c r="C8" s="247" t="s">
        <v>467</v>
      </c>
      <c r="D8" s="247"/>
      <c r="E8" s="43" t="s">
        <v>14</v>
      </c>
      <c r="F8" s="39">
        <v>43536</v>
      </c>
      <c r="H8" s="115"/>
      <c r="I8" s="116"/>
      <c r="J8" s="117"/>
      <c r="K8" s="15"/>
    </row>
    <row r="9" spans="1:13" ht="15">
      <c r="B9" s="44" t="s">
        <v>196</v>
      </c>
      <c r="C9" s="246"/>
      <c r="D9" s="246"/>
      <c r="H9" s="118"/>
      <c r="I9" s="119"/>
      <c r="J9" s="120"/>
      <c r="K9" s="15"/>
    </row>
    <row r="10" spans="1:13" ht="15" customHeight="1">
      <c r="B10" s="248"/>
      <c r="C10" s="248"/>
      <c r="D10" s="248"/>
      <c r="E10" s="248"/>
      <c r="F10" s="248"/>
      <c r="H10" s="20"/>
      <c r="I10" s="239"/>
      <c r="J10" s="239"/>
      <c r="K10" s="15"/>
    </row>
    <row r="11" spans="1:13" ht="23.25" customHeight="1">
      <c r="B11" s="45" t="s">
        <v>0</v>
      </c>
      <c r="C11" s="45" t="s">
        <v>1</v>
      </c>
      <c r="D11" s="45" t="s">
        <v>11</v>
      </c>
      <c r="E11" s="45" t="s">
        <v>2</v>
      </c>
      <c r="F11" s="45" t="s">
        <v>3</v>
      </c>
      <c r="H11" s="235" t="s">
        <v>461</v>
      </c>
      <c r="I11" s="235"/>
      <c r="J11" s="235"/>
      <c r="K11" s="235"/>
    </row>
    <row r="12" spans="1:13" ht="18" customHeight="1">
      <c r="B12" s="46">
        <v>1</v>
      </c>
      <c r="C12" s="30" t="s">
        <v>307</v>
      </c>
      <c r="D12" s="47" t="s">
        <v>468</v>
      </c>
      <c r="E12" s="48">
        <v>12500</v>
      </c>
      <c r="F12" s="49">
        <f>IFERROR(IF(Quotation102[[#This Row],[QUANTITY]],Quotation102[[#This Row],[QUANTITY]]*Quotation102[[#This Row],[UNIT PRICE]],""),"")</f>
        <v>12500</v>
      </c>
      <c r="H12" s="235"/>
      <c r="I12" s="235"/>
      <c r="J12" s="235"/>
      <c r="K12" s="235"/>
    </row>
    <row r="13" spans="1:13" ht="30" customHeight="1">
      <c r="B13" s="46"/>
      <c r="C13" s="30" t="s">
        <v>308</v>
      </c>
      <c r="D13" s="47"/>
      <c r="E13" s="48"/>
      <c r="F13" s="49" t="str">
        <f>IFERROR(IF(Quotation102[[#This Row],[QUANTITY]],Quotation102[[#This Row],[QUANTITY]]*Quotation102[[#This Row],[UNIT PRICE]],""),"")</f>
        <v/>
      </c>
      <c r="H13" s="235"/>
      <c r="I13" s="235"/>
      <c r="J13" s="235"/>
      <c r="K13" s="235"/>
    </row>
    <row r="14" spans="1:13" ht="19.5" customHeight="1">
      <c r="B14" s="46"/>
      <c r="D14" s="47"/>
      <c r="E14" s="48"/>
      <c r="F14" s="49" t="str">
        <f>IFERROR(IF(Quotation102[[#This Row],[QUANTITY]],Quotation102[[#This Row],[QUANTITY]]*Quotation102[[#This Row],[UNIT PRICE]],""),"")</f>
        <v/>
      </c>
      <c r="H14" s="235"/>
      <c r="I14" s="235"/>
      <c r="J14" s="235"/>
      <c r="K14" s="235"/>
    </row>
    <row r="15" spans="1:13" ht="19.5" customHeight="1">
      <c r="B15" s="46"/>
      <c r="C15" s="50"/>
      <c r="D15" s="47"/>
      <c r="E15" s="48"/>
      <c r="F15" s="49" t="str">
        <f>IFERROR(IF(Quotation102[[#This Row],[QUANTITY]],Quotation102[[#This Row],[QUANTITY]]*Quotation102[[#This Row],[UNIT PRICE]],""),"")</f>
        <v/>
      </c>
      <c r="H15" s="235"/>
      <c r="I15" s="235"/>
      <c r="J15" s="235"/>
      <c r="K15" s="235"/>
      <c r="L15" s="140"/>
      <c r="M15" s="140"/>
    </row>
    <row r="16" spans="1:13" ht="19.5" customHeight="1">
      <c r="B16" s="46"/>
      <c r="C16" s="50"/>
      <c r="D16" s="47"/>
      <c r="E16" s="48"/>
      <c r="F16" s="49" t="str">
        <f>IFERROR(IF(Quotation102[[#This Row],[QUANTITY]],Quotation102[[#This Row],[QUANTITY]]*Quotation102[[#This Row],[UNIT PRICE]],""),"")</f>
        <v/>
      </c>
      <c r="H16" s="235"/>
      <c r="I16" s="235"/>
      <c r="J16" s="235"/>
      <c r="K16" s="235"/>
      <c r="L16" s="140"/>
      <c r="M16" s="140"/>
    </row>
    <row r="17" spans="2:11" ht="19.5" customHeight="1">
      <c r="B17" s="46"/>
      <c r="C17" s="50"/>
      <c r="D17" s="47"/>
      <c r="E17" s="48"/>
      <c r="F17" s="49" t="str">
        <f>IFERROR(IF(Quotation102[[#This Row],[QUANTITY]],Quotation102[[#This Row],[QUANTITY]]*Quotation102[[#This Row],[UNIT PRICE]],""),"")</f>
        <v/>
      </c>
      <c r="H17" s="235"/>
      <c r="I17" s="235"/>
      <c r="J17" s="235"/>
      <c r="K17" s="235"/>
    </row>
    <row r="18" spans="2:11" ht="19.5" customHeight="1">
      <c r="B18" s="46"/>
      <c r="C18" s="50"/>
      <c r="D18" s="47"/>
      <c r="E18" s="48"/>
      <c r="F18" s="49" t="str">
        <f>IFERROR(IF(Quotation102[[#This Row],[QUANTITY]],Quotation102[[#This Row],[QUANTITY]]*Quotation102[[#This Row],[UNIT PRICE]],""),"")</f>
        <v/>
      </c>
      <c r="H18" s="235"/>
      <c r="I18" s="235"/>
      <c r="J18" s="235"/>
      <c r="K18" s="235"/>
    </row>
    <row r="19" spans="2:11" ht="19.5" customHeight="1">
      <c r="B19" s="46"/>
      <c r="C19" s="50"/>
      <c r="D19" s="47"/>
      <c r="E19" s="48"/>
      <c r="F19" s="49" t="str">
        <f>IFERROR(IF(Quotation102[[#This Row],[QUANTITY]],Quotation102[[#This Row],[QUANTITY]]*Quotation102[[#This Row],[UNIT PRICE]],""),"")</f>
        <v/>
      </c>
      <c r="H19" s="235"/>
      <c r="I19" s="235"/>
      <c r="J19" s="235"/>
      <c r="K19" s="235"/>
    </row>
    <row r="20" spans="2:11" ht="19.5" customHeight="1">
      <c r="B20" s="46"/>
      <c r="C20" s="50"/>
      <c r="D20" s="47"/>
      <c r="E20" s="48"/>
      <c r="F20" s="49" t="str">
        <f>IFERROR(IF(Quotation102[[#This Row],[QUANTITY]],Quotation102[[#This Row],[QUANTITY]]*Quotation102[[#This Row],[UNIT PRICE]],""),"")</f>
        <v/>
      </c>
      <c r="H20" s="235"/>
      <c r="I20" s="235"/>
      <c r="J20" s="235"/>
      <c r="K20" s="235"/>
    </row>
    <row r="21" spans="2:11" ht="19.5" customHeight="1">
      <c r="B21" s="46"/>
      <c r="D21" s="47"/>
      <c r="E21" s="48"/>
      <c r="F21" s="49" t="str">
        <f>IFERROR(IF(Quotation102[[#This Row],[QUANTITY]],Quotation102[[#This Row],[QUANTITY]]*Quotation102[[#This Row],[UNIT PRICE]],""),"")</f>
        <v/>
      </c>
      <c r="H21" s="235"/>
      <c r="I21" s="235"/>
      <c r="J21" s="235"/>
      <c r="K21" s="235"/>
    </row>
    <row r="22" spans="2:11" ht="19.5" customHeight="1">
      <c r="B22" s="46"/>
      <c r="C22" s="50"/>
      <c r="D22" s="47"/>
      <c r="E22" s="48"/>
      <c r="F22" s="49" t="str">
        <f>IFERROR(IF(Quotation102[[#This Row],[QUANTITY]],Quotation102[[#This Row],[QUANTITY]]*Quotation102[[#This Row],[UNIT PRICE]],""),"")</f>
        <v/>
      </c>
      <c r="H22" s="235"/>
      <c r="I22" s="235"/>
      <c r="J22" s="235"/>
      <c r="K22" s="235"/>
    </row>
    <row r="23" spans="2:11" ht="19.5" customHeight="1">
      <c r="B23" s="46"/>
      <c r="C23" s="50"/>
      <c r="D23" s="47"/>
      <c r="E23" s="48"/>
      <c r="F23" s="49" t="str">
        <f>IFERROR(IF(Quotation102[[#This Row],[QUANTITY]],Quotation102[[#This Row],[QUANTITY]]*Quotation102[[#This Row],[UNIT PRICE]],""),"")</f>
        <v/>
      </c>
      <c r="H23" s="235"/>
      <c r="I23" s="235"/>
      <c r="J23" s="235"/>
      <c r="K23" s="235"/>
    </row>
    <row r="24" spans="2:11" ht="19.5" customHeight="1">
      <c r="B24" s="46"/>
      <c r="C24" s="50"/>
      <c r="D24" s="47"/>
      <c r="E24" s="48"/>
      <c r="F24" s="49" t="str">
        <f>IFERROR(IF(Quotation102[[#This Row],[QUANTITY]],Quotation102[[#This Row],[QUANTITY]]*Quotation102[[#This Row],[UNIT PRICE]],""),"")</f>
        <v/>
      </c>
      <c r="H24" s="235"/>
      <c r="I24" s="235"/>
      <c r="J24" s="235"/>
      <c r="K24" s="235"/>
    </row>
    <row r="25" spans="2:11" ht="19.5" customHeight="1">
      <c r="B25" s="46"/>
      <c r="C25" s="50"/>
      <c r="D25" s="47"/>
      <c r="E25" s="48"/>
      <c r="F25" s="49" t="str">
        <f>IFERROR(IF(Quotation102[[#This Row],[QUANTITY]],Quotation102[[#This Row],[QUANTITY]]*Quotation102[[#This Row],[UNIT PRICE]],""),"")</f>
        <v/>
      </c>
      <c r="H25" s="235"/>
      <c r="I25" s="235"/>
      <c r="J25" s="235"/>
      <c r="K25" s="235"/>
    </row>
    <row r="26" spans="2:11" ht="19.5" customHeight="1">
      <c r="B26" s="46"/>
      <c r="C26" s="50"/>
      <c r="D26" s="47"/>
      <c r="E26" s="48"/>
      <c r="F26" s="49" t="str">
        <f>IFERROR(IF(Quotation102[[#This Row],[QUANTITY]],Quotation102[[#This Row],[QUANTITY]]*Quotation102[[#This Row],[UNIT PRICE]],""),"")</f>
        <v/>
      </c>
      <c r="H26" s="235"/>
      <c r="I26" s="235"/>
      <c r="J26" s="235"/>
      <c r="K26" s="235"/>
    </row>
    <row r="27" spans="2:11" ht="19.5" customHeight="1">
      <c r="B27" s="46"/>
      <c r="C27" s="50"/>
      <c r="D27" s="47"/>
      <c r="E27" s="48"/>
      <c r="F27" s="49" t="str">
        <f>IFERROR(IF(Quotation102[[#This Row],[QUANTITY]],Quotation102[[#This Row],[QUANTITY]]*Quotation102[[#This Row],[UNIT PRICE]],""),"")</f>
        <v/>
      </c>
      <c r="H27" s="235"/>
      <c r="I27" s="235"/>
      <c r="J27" s="235"/>
      <c r="K27" s="235"/>
    </row>
    <row r="28" spans="2:11" ht="19.5" customHeight="1">
      <c r="B28" s="46"/>
      <c r="D28" s="47"/>
      <c r="E28" s="48"/>
      <c r="F28" s="49" t="str">
        <f>IFERROR(IF(Quotation102[[#This Row],[QUANTITY]],Quotation102[[#This Row],[QUANTITY]]*Quotation102[[#This Row],[UNIT PRICE]],""),"")</f>
        <v/>
      </c>
      <c r="H28" s="235"/>
      <c r="I28" s="235"/>
      <c r="J28" s="235"/>
      <c r="K28" s="235"/>
    </row>
    <row r="29" spans="2:11" ht="19.5" customHeight="1">
      <c r="B29" s="150"/>
      <c r="C29" s="150"/>
      <c r="D29" s="150"/>
      <c r="E29" s="151" t="s">
        <v>214</v>
      </c>
      <c r="F29" s="152">
        <f>IFERROR(IF(B12,SUM(Quotation102[AMOUNT]),""),"")</f>
        <v>12500</v>
      </c>
      <c r="H29" s="121" t="s">
        <v>384</v>
      </c>
      <c r="I29" s="234" t="str">
        <f>B41</f>
        <v>Ryan Maniego</v>
      </c>
      <c r="J29" s="234"/>
      <c r="K29" s="15"/>
    </row>
    <row r="30" spans="2:11" ht="19.5" customHeight="1">
      <c r="E30" s="53" t="s">
        <v>7</v>
      </c>
      <c r="F30" s="54">
        <f>Quotation102[[#Totals],[AMOUNT]]*(H30/100)</f>
        <v>0</v>
      </c>
      <c r="H30" s="122">
        <v>0</v>
      </c>
      <c r="I30" s="261" t="s">
        <v>154</v>
      </c>
      <c r="J30" s="261"/>
      <c r="K30" s="15"/>
    </row>
    <row r="31" spans="2:11" ht="19.5" customHeight="1">
      <c r="B31" s="55" t="s">
        <v>197</v>
      </c>
      <c r="C31" s="31"/>
      <c r="E31" s="53" t="s">
        <v>41</v>
      </c>
      <c r="F31" s="56">
        <f>Quotation102[[#Totals],[AMOUNT]]-F30</f>
        <v>12500</v>
      </c>
      <c r="H31" s="123">
        <f>F42</f>
        <v>0</v>
      </c>
      <c r="I31" s="262">
        <f>F31</f>
        <v>12500</v>
      </c>
      <c r="J31" s="263"/>
      <c r="K31" s="15"/>
    </row>
    <row r="32" spans="2:11" ht="13.5" customHeight="1">
      <c r="B32" s="43" t="s">
        <v>198</v>
      </c>
      <c r="C32" s="50" t="s">
        <v>469</v>
      </c>
      <c r="E32" s="57"/>
      <c r="F32" s="58"/>
      <c r="H32" s="20"/>
      <c r="I32" s="20"/>
      <c r="J32" s="20"/>
      <c r="K32" s="15"/>
    </row>
    <row r="33" spans="1:13" ht="15">
      <c r="B33" s="43"/>
      <c r="C33" s="50"/>
      <c r="E33" s="57"/>
      <c r="H33" s="20"/>
      <c r="I33" s="233"/>
      <c r="J33" s="233"/>
      <c r="K33" s="15"/>
    </row>
    <row r="34" spans="1:13" ht="15">
      <c r="B34" s="43"/>
      <c r="C34" s="50"/>
      <c r="E34" s="57"/>
      <c r="H34" s="20"/>
      <c r="I34" s="20"/>
      <c r="J34" s="20"/>
      <c r="K34" s="15"/>
    </row>
    <row r="35" spans="1:13" ht="13.5" customHeight="1">
      <c r="B35" s="43"/>
      <c r="C35" s="110"/>
      <c r="H35" s="20"/>
      <c r="I35" s="20"/>
      <c r="J35" s="20"/>
      <c r="K35" s="15"/>
    </row>
    <row r="36" spans="1:13" ht="13.5" customHeight="1">
      <c r="B36" s="43" t="s">
        <v>203</v>
      </c>
      <c r="C36" s="50" t="s">
        <v>204</v>
      </c>
      <c r="K36" s="15"/>
    </row>
    <row r="37" spans="1:13" ht="13.5" customHeight="1">
      <c r="B37" s="43" t="s">
        <v>205</v>
      </c>
      <c r="C37" s="30" t="s">
        <v>470</v>
      </c>
      <c r="K37" s="15"/>
    </row>
    <row r="38" spans="1:13" ht="13.5" customHeight="1">
      <c r="B38" s="43"/>
      <c r="C38" s="59"/>
      <c r="K38" s="15"/>
    </row>
    <row r="39" spans="1:13" ht="13.5" customHeight="1">
      <c r="K39" s="15"/>
    </row>
    <row r="40" spans="1:13" ht="13.5" customHeight="1">
      <c r="B40" s="60"/>
      <c r="C40" s="61"/>
      <c r="D40" s="60" t="s">
        <v>208</v>
      </c>
      <c r="E40" s="62"/>
      <c r="F40" s="63"/>
      <c r="G40" s="64"/>
      <c r="K40" s="15"/>
    </row>
    <row r="41" spans="1:13" ht="39" customHeight="1">
      <c r="A41" s="65"/>
      <c r="B41" s="66" t="s">
        <v>472</v>
      </c>
      <c r="C41" s="67" t="s">
        <v>152</v>
      </c>
      <c r="D41" s="68"/>
      <c r="E41" s="69"/>
      <c r="F41" s="70"/>
      <c r="G41" s="64"/>
      <c r="K41" s="15"/>
    </row>
    <row r="42" spans="1:13" ht="14.25" customHeight="1">
      <c r="A42" s="65"/>
      <c r="B42" s="71" t="s">
        <v>16</v>
      </c>
      <c r="C42" s="72" t="s">
        <v>153</v>
      </c>
      <c r="D42" s="249" t="str">
        <f>C5</f>
        <v>Metro Parking Management Phils., Inc.</v>
      </c>
      <c r="E42" s="250"/>
      <c r="F42" s="251"/>
      <c r="G42" s="64"/>
      <c r="K42" s="15"/>
    </row>
    <row r="43" spans="1:13" ht="20.25" customHeight="1">
      <c r="A43" s="73"/>
      <c r="B43" s="73"/>
      <c r="C43" s="74"/>
      <c r="D43" s="75"/>
      <c r="E43" s="76"/>
      <c r="F43" s="74"/>
      <c r="G43" s="76"/>
      <c r="K43" s="15"/>
    </row>
    <row r="44" spans="1:13" ht="15">
      <c r="A44" s="73"/>
      <c r="B44" s="73"/>
      <c r="C44" s="74"/>
      <c r="D44" s="75"/>
      <c r="E44" s="76"/>
      <c r="F44" s="74"/>
      <c r="G44" s="76"/>
      <c r="K44" s="15"/>
    </row>
    <row r="45" spans="1:13" ht="15">
      <c r="A45" s="73"/>
      <c r="B45" s="77" t="s">
        <v>209</v>
      </c>
      <c r="C45" s="78"/>
      <c r="D45" s="79"/>
      <c r="E45" s="80"/>
      <c r="F45" s="81"/>
      <c r="G45" s="76"/>
      <c r="K45" s="15"/>
    </row>
    <row r="46" spans="1:13" ht="15">
      <c r="A46" s="76"/>
      <c r="B46" s="82" t="s">
        <v>210</v>
      </c>
      <c r="C46" s="83"/>
      <c r="D46" s="84"/>
      <c r="E46" s="85"/>
      <c r="F46" s="86"/>
      <c r="G46" s="87"/>
      <c r="K46" s="15"/>
    </row>
    <row r="47" spans="1:13" ht="15">
      <c r="A47" s="76"/>
      <c r="B47" s="82" t="s">
        <v>211</v>
      </c>
      <c r="C47" s="83"/>
      <c r="D47" s="84"/>
      <c r="E47" s="85"/>
      <c r="F47" s="86"/>
      <c r="G47" s="87"/>
      <c r="H47" s="124"/>
      <c r="I47" s="125"/>
      <c r="J47" s="125"/>
      <c r="K47" s="126"/>
      <c r="L47" s="30"/>
      <c r="M47" s="30"/>
    </row>
    <row r="48" spans="1:13" ht="15">
      <c r="A48" s="88"/>
      <c r="B48" s="89">
        <f ca="1">TODAY()</f>
        <v>43543</v>
      </c>
      <c r="C48" s="90"/>
      <c r="D48" s="91"/>
      <c r="E48" s="92"/>
      <c r="F48" s="93"/>
      <c r="G48" s="87"/>
      <c r="H48" s="124"/>
      <c r="I48" s="125"/>
      <c r="J48" s="125"/>
      <c r="K48" s="127" t="s">
        <v>245</v>
      </c>
      <c r="L48" s="30"/>
      <c r="M48" s="30"/>
    </row>
    <row r="49" spans="1:13" ht="15">
      <c r="A49" s="88"/>
      <c r="B49" s="76"/>
      <c r="C49" s="74"/>
      <c r="D49" s="75"/>
      <c r="E49" s="76"/>
      <c r="F49" s="74"/>
      <c r="G49" s="87"/>
      <c r="H49" s="124"/>
      <c r="I49" s="125"/>
      <c r="J49" s="125"/>
      <c r="K49" s="128">
        <f>SUM(K50:K65)</f>
        <v>9228</v>
      </c>
      <c r="L49" s="30"/>
      <c r="M49" s="30"/>
    </row>
    <row r="50" spans="1:13" ht="15">
      <c r="A50" s="94"/>
      <c r="B50" s="252" t="s">
        <v>212</v>
      </c>
      <c r="C50" s="253"/>
      <c r="D50" s="95" t="s">
        <v>213</v>
      </c>
      <c r="E50" s="95" t="s">
        <v>2</v>
      </c>
      <c r="F50" s="96" t="s">
        <v>214</v>
      </c>
      <c r="G50" s="97"/>
      <c r="H50" s="127" t="s">
        <v>385</v>
      </c>
      <c r="I50" s="127" t="s">
        <v>386</v>
      </c>
      <c r="J50" s="127" t="s">
        <v>387</v>
      </c>
      <c r="K50" s="127" t="s">
        <v>388</v>
      </c>
      <c r="L50" s="30"/>
      <c r="M50" s="30"/>
    </row>
    <row r="51" spans="1:13" ht="15">
      <c r="A51" s="98"/>
      <c r="B51" s="99" t="s">
        <v>215</v>
      </c>
      <c r="C51" s="100" t="s">
        <v>216</v>
      </c>
      <c r="D51" s="101">
        <v>1</v>
      </c>
      <c r="E51" s="102">
        <f>H51*I51*J51</f>
        <v>93000</v>
      </c>
      <c r="F51" s="102">
        <f>E51*D51</f>
        <v>93000</v>
      </c>
      <c r="G51" s="103"/>
      <c r="H51" s="129">
        <v>750</v>
      </c>
      <c r="I51" s="130">
        <v>62</v>
      </c>
      <c r="J51" s="131">
        <v>2</v>
      </c>
      <c r="K51" s="132">
        <f>H51*D51</f>
        <v>750</v>
      </c>
      <c r="L51" s="30"/>
      <c r="M51" s="30"/>
    </row>
    <row r="52" spans="1:13" ht="165">
      <c r="A52" s="98"/>
      <c r="B52" s="99" t="s">
        <v>217</v>
      </c>
      <c r="C52" s="100" t="s">
        <v>218</v>
      </c>
      <c r="D52" s="101">
        <v>1</v>
      </c>
      <c r="E52" s="102">
        <f t="shared" ref="E52:E64" si="0">H52*I52*J52</f>
        <v>247380</v>
      </c>
      <c r="F52" s="102">
        <f t="shared" ref="F52:F65" si="1">E52*D52</f>
        <v>247380</v>
      </c>
      <c r="G52" s="103"/>
      <c r="H52" s="129">
        <v>1995</v>
      </c>
      <c r="I52" s="130">
        <v>62</v>
      </c>
      <c r="J52" s="131">
        <v>2</v>
      </c>
      <c r="K52" s="132">
        <f t="shared" ref="K52:K65" si="2">H52*D52</f>
        <v>1995</v>
      </c>
      <c r="L52" s="30"/>
      <c r="M52" s="30"/>
    </row>
    <row r="53" spans="1:13" ht="105">
      <c r="A53" s="98"/>
      <c r="B53" s="99" t="s">
        <v>219</v>
      </c>
      <c r="C53" s="100" t="s">
        <v>220</v>
      </c>
      <c r="D53" s="101">
        <v>1</v>
      </c>
      <c r="E53" s="102">
        <f t="shared" si="0"/>
        <v>37200</v>
      </c>
      <c r="F53" s="102">
        <f t="shared" si="1"/>
        <v>37200</v>
      </c>
      <c r="G53" s="103"/>
      <c r="H53" s="129">
        <v>300</v>
      </c>
      <c r="I53" s="130">
        <v>62</v>
      </c>
      <c r="J53" s="131">
        <v>2</v>
      </c>
      <c r="K53" s="132">
        <f t="shared" si="2"/>
        <v>300</v>
      </c>
      <c r="L53" s="30"/>
      <c r="M53" s="30"/>
    </row>
    <row r="54" spans="1:13">
      <c r="A54" s="98"/>
      <c r="B54" s="99" t="s">
        <v>221</v>
      </c>
      <c r="C54" s="100" t="s">
        <v>222</v>
      </c>
      <c r="D54" s="101">
        <v>1</v>
      </c>
      <c r="E54" s="102">
        <f t="shared" si="0"/>
        <v>84320</v>
      </c>
      <c r="F54" s="102">
        <f t="shared" si="1"/>
        <v>84320</v>
      </c>
      <c r="G54" s="103"/>
      <c r="H54" s="129">
        <v>1360</v>
      </c>
      <c r="I54" s="130">
        <v>62</v>
      </c>
      <c r="J54" s="131">
        <v>1</v>
      </c>
      <c r="K54" s="132">
        <f t="shared" si="2"/>
        <v>1360</v>
      </c>
      <c r="L54" s="30"/>
      <c r="M54" s="30"/>
    </row>
    <row r="55" spans="1:13" ht="75">
      <c r="A55" s="98"/>
      <c r="B55" s="99" t="s">
        <v>223</v>
      </c>
      <c r="C55" s="100" t="s">
        <v>224</v>
      </c>
      <c r="D55" s="101">
        <v>1</v>
      </c>
      <c r="E55" s="102">
        <f t="shared" si="0"/>
        <v>89280</v>
      </c>
      <c r="F55" s="102">
        <f t="shared" si="1"/>
        <v>89280</v>
      </c>
      <c r="G55" s="103"/>
      <c r="H55" s="129">
        <v>1440</v>
      </c>
      <c r="I55" s="130">
        <v>62</v>
      </c>
      <c r="J55" s="131">
        <v>1</v>
      </c>
      <c r="K55" s="132">
        <f t="shared" si="2"/>
        <v>1440</v>
      </c>
      <c r="L55" s="30"/>
      <c r="M55" s="30"/>
    </row>
    <row r="56" spans="1:13">
      <c r="A56" s="98"/>
      <c r="B56" s="99" t="s">
        <v>225</v>
      </c>
      <c r="C56" s="100" t="s">
        <v>226</v>
      </c>
      <c r="D56" s="101">
        <v>1</v>
      </c>
      <c r="E56" s="102">
        <f t="shared" si="0"/>
        <v>21824</v>
      </c>
      <c r="F56" s="102">
        <f t="shared" si="1"/>
        <v>21824</v>
      </c>
      <c r="G56" s="103"/>
      <c r="H56" s="129">
        <v>352</v>
      </c>
      <c r="I56" s="130">
        <v>62</v>
      </c>
      <c r="J56" s="131">
        <v>1</v>
      </c>
      <c r="K56" s="132">
        <f t="shared" si="2"/>
        <v>352</v>
      </c>
      <c r="L56" s="30"/>
      <c r="M56" s="30"/>
    </row>
    <row r="57" spans="1:13" ht="15">
      <c r="A57" s="98"/>
      <c r="B57" s="99" t="s">
        <v>227</v>
      </c>
      <c r="C57" s="100" t="s">
        <v>228</v>
      </c>
      <c r="D57" s="101">
        <v>1</v>
      </c>
      <c r="E57" s="102">
        <f t="shared" si="0"/>
        <v>27900</v>
      </c>
      <c r="F57" s="102">
        <f t="shared" si="1"/>
        <v>27900</v>
      </c>
      <c r="G57" s="103"/>
      <c r="H57" s="129">
        <v>300</v>
      </c>
      <c r="I57" s="130">
        <v>62</v>
      </c>
      <c r="J57" s="131">
        <v>1.5</v>
      </c>
      <c r="K57" s="132">
        <f t="shared" si="2"/>
        <v>300</v>
      </c>
      <c r="L57" s="30"/>
      <c r="M57" s="30"/>
    </row>
    <row r="58" spans="1:13" ht="15">
      <c r="A58" s="98"/>
      <c r="B58" s="99" t="s">
        <v>229</v>
      </c>
      <c r="C58" s="100" t="s">
        <v>230</v>
      </c>
      <c r="D58" s="101">
        <v>1</v>
      </c>
      <c r="E58" s="102">
        <f t="shared" si="0"/>
        <v>39308</v>
      </c>
      <c r="F58" s="102">
        <f t="shared" si="1"/>
        <v>39308</v>
      </c>
      <c r="G58" s="103"/>
      <c r="H58" s="129">
        <v>634</v>
      </c>
      <c r="I58" s="130">
        <v>62</v>
      </c>
      <c r="J58" s="131">
        <v>1</v>
      </c>
      <c r="K58" s="132">
        <f t="shared" si="2"/>
        <v>634</v>
      </c>
      <c r="L58" s="30"/>
      <c r="M58" s="30"/>
    </row>
    <row r="59" spans="1:13">
      <c r="A59" s="98"/>
      <c r="B59" s="99" t="s">
        <v>231</v>
      </c>
      <c r="C59" s="100" t="s">
        <v>232</v>
      </c>
      <c r="D59" s="101">
        <v>1</v>
      </c>
      <c r="E59" s="102">
        <f t="shared" si="0"/>
        <v>13454</v>
      </c>
      <c r="F59" s="102">
        <f t="shared" si="1"/>
        <v>13454</v>
      </c>
      <c r="G59" s="103"/>
      <c r="H59" s="129">
        <v>217</v>
      </c>
      <c r="I59" s="130">
        <v>62</v>
      </c>
      <c r="J59" s="131">
        <v>1</v>
      </c>
      <c r="K59" s="132">
        <f t="shared" si="2"/>
        <v>217</v>
      </c>
      <c r="L59" s="30"/>
      <c r="M59" s="30"/>
    </row>
    <row r="60" spans="1:13" ht="15">
      <c r="A60" s="98"/>
      <c r="B60" s="99" t="s">
        <v>233</v>
      </c>
      <c r="C60" s="100" t="s">
        <v>234</v>
      </c>
      <c r="D60" s="101">
        <v>1</v>
      </c>
      <c r="E60" s="102">
        <f t="shared" si="0"/>
        <v>2170</v>
      </c>
      <c r="F60" s="102">
        <f t="shared" si="1"/>
        <v>2170</v>
      </c>
      <c r="G60" s="103"/>
      <c r="H60" s="129">
        <v>35</v>
      </c>
      <c r="I60" s="130">
        <v>62</v>
      </c>
      <c r="J60" s="131">
        <v>1</v>
      </c>
      <c r="K60" s="132">
        <f t="shared" si="2"/>
        <v>35</v>
      </c>
      <c r="L60" s="30"/>
      <c r="M60" s="30"/>
    </row>
    <row r="61" spans="1:13" ht="15">
      <c r="A61" s="98"/>
      <c r="B61" s="99" t="s">
        <v>235</v>
      </c>
      <c r="C61" s="100" t="s">
        <v>236</v>
      </c>
      <c r="D61" s="101">
        <v>1</v>
      </c>
      <c r="E61" s="102">
        <f t="shared" si="0"/>
        <v>7626</v>
      </c>
      <c r="F61" s="102">
        <f t="shared" si="1"/>
        <v>7626</v>
      </c>
      <c r="G61" s="103"/>
      <c r="H61" s="129">
        <v>123</v>
      </c>
      <c r="I61" s="130">
        <v>62</v>
      </c>
      <c r="J61" s="131">
        <v>1</v>
      </c>
      <c r="K61" s="132">
        <f t="shared" si="2"/>
        <v>123</v>
      </c>
      <c r="L61" s="30"/>
      <c r="M61" s="30"/>
    </row>
    <row r="62" spans="1:13" ht="15">
      <c r="A62" s="98"/>
      <c r="B62" s="99" t="s">
        <v>237</v>
      </c>
      <c r="C62" s="100" t="s">
        <v>238</v>
      </c>
      <c r="D62" s="101">
        <v>1</v>
      </c>
      <c r="E62" s="102">
        <f t="shared" si="0"/>
        <v>128786.40000000001</v>
      </c>
      <c r="F62" s="102">
        <f t="shared" si="1"/>
        <v>128786.40000000001</v>
      </c>
      <c r="G62" s="103"/>
      <c r="H62" s="129">
        <v>1154</v>
      </c>
      <c r="I62" s="130">
        <v>62</v>
      </c>
      <c r="J62" s="131">
        <v>1.8</v>
      </c>
      <c r="K62" s="132">
        <f t="shared" si="2"/>
        <v>1154</v>
      </c>
      <c r="L62" s="30"/>
      <c r="M62" s="30"/>
    </row>
    <row r="63" spans="1:13">
      <c r="A63" s="98"/>
      <c r="B63" s="99" t="s">
        <v>239</v>
      </c>
      <c r="C63" s="100" t="s">
        <v>240</v>
      </c>
      <c r="D63" s="101">
        <v>1</v>
      </c>
      <c r="E63" s="102">
        <f t="shared" si="0"/>
        <v>14284.800000000001</v>
      </c>
      <c r="F63" s="102">
        <f t="shared" si="1"/>
        <v>14284.800000000001</v>
      </c>
      <c r="G63" s="103"/>
      <c r="H63" s="129">
        <v>128</v>
      </c>
      <c r="I63" s="130">
        <v>62</v>
      </c>
      <c r="J63" s="131">
        <v>1.8</v>
      </c>
      <c r="K63" s="132">
        <f t="shared" si="2"/>
        <v>128</v>
      </c>
      <c r="L63" s="30"/>
      <c r="M63" s="30"/>
    </row>
    <row r="64" spans="1:13">
      <c r="A64" s="98"/>
      <c r="B64" s="99" t="s">
        <v>241</v>
      </c>
      <c r="C64" s="100" t="s">
        <v>242</v>
      </c>
      <c r="D64" s="101">
        <v>1</v>
      </c>
      <c r="E64" s="102">
        <f t="shared" si="0"/>
        <v>18600</v>
      </c>
      <c r="F64" s="102">
        <f t="shared" si="1"/>
        <v>18600</v>
      </c>
      <c r="G64" s="103"/>
      <c r="H64" s="129">
        <v>300</v>
      </c>
      <c r="I64" s="130">
        <v>62</v>
      </c>
      <c r="J64" s="131">
        <v>1</v>
      </c>
      <c r="K64" s="132">
        <f t="shared" si="2"/>
        <v>300</v>
      </c>
      <c r="L64" s="30"/>
      <c r="M64" s="30"/>
    </row>
    <row r="65" spans="1:13">
      <c r="A65" s="98"/>
      <c r="B65" s="99" t="s">
        <v>243</v>
      </c>
      <c r="C65" s="100" t="s">
        <v>244</v>
      </c>
      <c r="D65" s="101">
        <v>1</v>
      </c>
      <c r="E65" s="102">
        <f>H65*I65*J65</f>
        <v>17360</v>
      </c>
      <c r="F65" s="102">
        <f t="shared" si="1"/>
        <v>17360</v>
      </c>
      <c r="G65" s="103"/>
      <c r="H65" s="133">
        <v>140</v>
      </c>
      <c r="I65" s="134">
        <v>62</v>
      </c>
      <c r="J65" s="135">
        <v>2</v>
      </c>
      <c r="K65" s="136">
        <f t="shared" si="2"/>
        <v>140</v>
      </c>
      <c r="L65" s="30"/>
      <c r="M65" s="30"/>
    </row>
    <row r="66" spans="1:13" ht="15">
      <c r="A66" s="98"/>
      <c r="B66" s="254" t="s">
        <v>245</v>
      </c>
      <c r="C66" s="255"/>
      <c r="D66" s="255"/>
      <c r="E66" s="256"/>
      <c r="F66" s="104">
        <f>SUM(F51:F65)</f>
        <v>842493.20000000007</v>
      </c>
      <c r="G66" s="103"/>
      <c r="H66" s="137"/>
      <c r="I66" s="137"/>
      <c r="J66" s="138"/>
      <c r="K66" s="139"/>
      <c r="L66" s="30"/>
      <c r="M66" s="30"/>
    </row>
    <row r="67" spans="1:13" ht="15">
      <c r="H67" s="126"/>
      <c r="I67" s="126"/>
      <c r="J67" s="126"/>
      <c r="K67" s="126"/>
      <c r="L67" s="30"/>
      <c r="M67" s="30"/>
    </row>
    <row r="68" spans="1:13" ht="15">
      <c r="A68" s="94"/>
      <c r="B68" s="252" t="s">
        <v>246</v>
      </c>
      <c r="C68" s="253"/>
      <c r="D68" s="95" t="s">
        <v>213</v>
      </c>
      <c r="E68" s="95" t="s">
        <v>2</v>
      </c>
      <c r="F68" s="96" t="s">
        <v>214</v>
      </c>
      <c r="G68" s="97"/>
      <c r="H68" s="127" t="s">
        <v>385</v>
      </c>
      <c r="I68" s="127" t="s">
        <v>386</v>
      </c>
      <c r="J68" s="127" t="s">
        <v>387</v>
      </c>
      <c r="K68" s="127" t="s">
        <v>388</v>
      </c>
      <c r="L68" s="30"/>
      <c r="M68" s="30"/>
    </row>
    <row r="69" spans="1:13" ht="15">
      <c r="A69" s="98"/>
      <c r="B69" s="99" t="s">
        <v>215</v>
      </c>
      <c r="C69" s="100" t="s">
        <v>216</v>
      </c>
      <c r="D69" s="101">
        <v>1</v>
      </c>
      <c r="E69" s="102">
        <f t="shared" ref="E69:E76" si="3">H69*I69*J69</f>
        <v>93000</v>
      </c>
      <c r="F69" s="102">
        <f t="shared" ref="F69:F92" si="4">E69*D69</f>
        <v>93000</v>
      </c>
      <c r="G69" s="103"/>
      <c r="H69" s="129">
        <v>750</v>
      </c>
      <c r="I69" s="130">
        <v>62</v>
      </c>
      <c r="J69" s="131">
        <v>2</v>
      </c>
      <c r="K69" s="132">
        <f t="shared" ref="K69:K92" si="5">H69*D69</f>
        <v>750</v>
      </c>
      <c r="L69" s="30"/>
      <c r="M69" s="30"/>
    </row>
    <row r="70" spans="1:13" ht="90">
      <c r="A70" s="98"/>
      <c r="B70" s="99" t="s">
        <v>247</v>
      </c>
      <c r="C70" s="100" t="s">
        <v>248</v>
      </c>
      <c r="D70" s="101">
        <v>1</v>
      </c>
      <c r="E70" s="102">
        <f t="shared" si="3"/>
        <v>79236</v>
      </c>
      <c r="F70" s="102">
        <f t="shared" si="4"/>
        <v>79236</v>
      </c>
      <c r="G70" s="103"/>
      <c r="H70" s="129">
        <v>639</v>
      </c>
      <c r="I70" s="130">
        <v>62</v>
      </c>
      <c r="J70" s="131">
        <v>2</v>
      </c>
      <c r="K70" s="132">
        <f t="shared" si="5"/>
        <v>639</v>
      </c>
      <c r="L70" s="30"/>
      <c r="M70" s="30"/>
    </row>
    <row r="71" spans="1:13" ht="60">
      <c r="A71" s="98"/>
      <c r="B71" s="99" t="s">
        <v>249</v>
      </c>
      <c r="C71" s="100" t="s">
        <v>250</v>
      </c>
      <c r="D71" s="101">
        <v>1</v>
      </c>
      <c r="E71" s="102">
        <f t="shared" si="3"/>
        <v>7316</v>
      </c>
      <c r="F71" s="102">
        <f t="shared" si="4"/>
        <v>7316</v>
      </c>
      <c r="G71" s="103"/>
      <c r="H71" s="129">
        <v>118</v>
      </c>
      <c r="I71" s="130">
        <v>62</v>
      </c>
      <c r="J71" s="131">
        <v>1</v>
      </c>
      <c r="K71" s="132">
        <f t="shared" si="5"/>
        <v>118</v>
      </c>
      <c r="L71" s="30"/>
      <c r="M71" s="30"/>
    </row>
    <row r="72" spans="1:13" ht="15">
      <c r="A72" s="98"/>
      <c r="B72" s="99" t="s">
        <v>251</v>
      </c>
      <c r="C72" s="100" t="s">
        <v>252</v>
      </c>
      <c r="D72" s="101">
        <v>1</v>
      </c>
      <c r="E72" s="102">
        <f t="shared" si="3"/>
        <v>28520</v>
      </c>
      <c r="F72" s="102">
        <f t="shared" si="4"/>
        <v>28520</v>
      </c>
      <c r="G72" s="103"/>
      <c r="H72" s="129">
        <v>460</v>
      </c>
      <c r="I72" s="130">
        <v>62</v>
      </c>
      <c r="J72" s="131">
        <v>1</v>
      </c>
      <c r="K72" s="132">
        <f t="shared" si="5"/>
        <v>460</v>
      </c>
      <c r="L72" s="30"/>
      <c r="M72" s="30"/>
    </row>
    <row r="73" spans="1:13" ht="15">
      <c r="A73" s="98"/>
      <c r="B73" s="99" t="s">
        <v>253</v>
      </c>
      <c r="C73" s="100" t="s">
        <v>254</v>
      </c>
      <c r="D73" s="101">
        <v>1</v>
      </c>
      <c r="E73" s="102">
        <f t="shared" si="3"/>
        <v>7440</v>
      </c>
      <c r="F73" s="102">
        <f t="shared" si="4"/>
        <v>7440</v>
      </c>
      <c r="G73" s="103"/>
      <c r="H73" s="129">
        <v>120</v>
      </c>
      <c r="I73" s="130">
        <v>62</v>
      </c>
      <c r="J73" s="131">
        <v>1</v>
      </c>
      <c r="K73" s="132">
        <f t="shared" si="5"/>
        <v>120</v>
      </c>
      <c r="L73" s="30"/>
      <c r="M73" s="30"/>
    </row>
    <row r="74" spans="1:13">
      <c r="A74" s="98"/>
      <c r="B74" s="99" t="s">
        <v>255</v>
      </c>
      <c r="C74" s="100" t="s">
        <v>256</v>
      </c>
      <c r="D74" s="101">
        <v>1</v>
      </c>
      <c r="E74" s="102">
        <f t="shared" si="3"/>
        <v>19840</v>
      </c>
      <c r="F74" s="102">
        <f t="shared" si="4"/>
        <v>19840</v>
      </c>
      <c r="G74" s="103"/>
      <c r="H74" s="129">
        <v>320</v>
      </c>
      <c r="I74" s="130">
        <v>62</v>
      </c>
      <c r="J74" s="131">
        <v>1</v>
      </c>
      <c r="K74" s="132">
        <f t="shared" si="5"/>
        <v>320</v>
      </c>
      <c r="L74" s="30"/>
      <c r="M74" s="30"/>
    </row>
    <row r="75" spans="1:13" ht="15">
      <c r="A75" s="98"/>
      <c r="B75" s="99" t="s">
        <v>257</v>
      </c>
      <c r="C75" s="100" t="s">
        <v>258</v>
      </c>
      <c r="D75" s="101">
        <v>1</v>
      </c>
      <c r="E75" s="102">
        <f t="shared" si="3"/>
        <v>11532</v>
      </c>
      <c r="F75" s="102">
        <f t="shared" si="4"/>
        <v>11532</v>
      </c>
      <c r="G75" s="103"/>
      <c r="H75" s="129">
        <v>186</v>
      </c>
      <c r="I75" s="130">
        <v>62</v>
      </c>
      <c r="J75" s="131">
        <v>1</v>
      </c>
      <c r="K75" s="132">
        <f t="shared" si="5"/>
        <v>186</v>
      </c>
      <c r="L75" s="30"/>
      <c r="M75" s="30"/>
    </row>
    <row r="76" spans="1:13" ht="15">
      <c r="A76" s="98"/>
      <c r="B76" s="99" t="s">
        <v>259</v>
      </c>
      <c r="C76" s="100" t="s">
        <v>260</v>
      </c>
      <c r="D76" s="101">
        <v>1</v>
      </c>
      <c r="E76" s="102">
        <f t="shared" si="3"/>
        <v>12028</v>
      </c>
      <c r="F76" s="102">
        <f t="shared" si="4"/>
        <v>12028</v>
      </c>
      <c r="G76" s="103"/>
      <c r="H76" s="129">
        <v>194</v>
      </c>
      <c r="I76" s="130">
        <v>62</v>
      </c>
      <c r="J76" s="131">
        <v>1</v>
      </c>
      <c r="K76" s="132">
        <f t="shared" si="5"/>
        <v>194</v>
      </c>
      <c r="L76" s="30"/>
      <c r="M76" s="30"/>
    </row>
    <row r="77" spans="1:13" ht="165">
      <c r="A77" s="98"/>
      <c r="B77" s="99" t="s">
        <v>217</v>
      </c>
      <c r="C77" s="100" t="s">
        <v>218</v>
      </c>
      <c r="D77" s="101">
        <v>1</v>
      </c>
      <c r="E77" s="102">
        <f>H77*I77*J77</f>
        <v>247380</v>
      </c>
      <c r="F77" s="102">
        <f t="shared" si="4"/>
        <v>247380</v>
      </c>
      <c r="G77" s="103"/>
      <c r="H77" s="129">
        <v>1995</v>
      </c>
      <c r="I77" s="130">
        <v>62</v>
      </c>
      <c r="J77" s="131">
        <v>2</v>
      </c>
      <c r="K77" s="132">
        <f t="shared" si="5"/>
        <v>1995</v>
      </c>
      <c r="L77" s="30"/>
      <c r="M77" s="30"/>
    </row>
    <row r="78" spans="1:13" ht="105">
      <c r="A78" s="98"/>
      <c r="B78" s="99" t="s">
        <v>219</v>
      </c>
      <c r="C78" s="100" t="s">
        <v>220</v>
      </c>
      <c r="D78" s="101">
        <v>1</v>
      </c>
      <c r="E78" s="102">
        <f t="shared" ref="E78:E91" si="6">H78*I78*J78</f>
        <v>37200</v>
      </c>
      <c r="F78" s="102">
        <f t="shared" si="4"/>
        <v>37200</v>
      </c>
      <c r="G78" s="103"/>
      <c r="H78" s="129">
        <v>300</v>
      </c>
      <c r="I78" s="130">
        <v>62</v>
      </c>
      <c r="J78" s="131">
        <v>2</v>
      </c>
      <c r="K78" s="132">
        <f t="shared" si="5"/>
        <v>300</v>
      </c>
      <c r="L78" s="30"/>
      <c r="M78" s="30"/>
    </row>
    <row r="79" spans="1:13">
      <c r="A79" s="98"/>
      <c r="B79" s="99" t="s">
        <v>225</v>
      </c>
      <c r="C79" s="100" t="s">
        <v>226</v>
      </c>
      <c r="D79" s="101">
        <v>1</v>
      </c>
      <c r="E79" s="102">
        <f t="shared" si="6"/>
        <v>21824</v>
      </c>
      <c r="F79" s="102">
        <f t="shared" si="4"/>
        <v>21824</v>
      </c>
      <c r="G79" s="103"/>
      <c r="H79" s="129">
        <v>352</v>
      </c>
      <c r="I79" s="130">
        <v>62</v>
      </c>
      <c r="J79" s="131">
        <v>1</v>
      </c>
      <c r="K79" s="132">
        <f t="shared" si="5"/>
        <v>352</v>
      </c>
      <c r="L79" s="30"/>
      <c r="M79" s="30"/>
    </row>
    <row r="80" spans="1:13" ht="15">
      <c r="A80" s="98"/>
      <c r="B80" s="99" t="s">
        <v>227</v>
      </c>
      <c r="C80" s="100" t="s">
        <v>228</v>
      </c>
      <c r="D80" s="101">
        <v>1</v>
      </c>
      <c r="E80" s="102">
        <f t="shared" si="6"/>
        <v>27900</v>
      </c>
      <c r="F80" s="102">
        <f t="shared" si="4"/>
        <v>27900</v>
      </c>
      <c r="G80" s="103"/>
      <c r="H80" s="129">
        <v>300</v>
      </c>
      <c r="I80" s="130">
        <v>62</v>
      </c>
      <c r="J80" s="131">
        <v>1.5</v>
      </c>
      <c r="K80" s="132">
        <f t="shared" si="5"/>
        <v>300</v>
      </c>
      <c r="L80" s="30"/>
      <c r="M80" s="30"/>
    </row>
    <row r="81" spans="1:13">
      <c r="A81" s="98"/>
      <c r="B81" s="99" t="s">
        <v>261</v>
      </c>
      <c r="C81" s="100" t="s">
        <v>262</v>
      </c>
      <c r="D81" s="101">
        <v>1</v>
      </c>
      <c r="E81" s="102">
        <f t="shared" si="6"/>
        <v>18600</v>
      </c>
      <c r="F81" s="102">
        <f t="shared" si="4"/>
        <v>18600</v>
      </c>
      <c r="G81" s="103"/>
      <c r="H81" s="129">
        <v>300</v>
      </c>
      <c r="I81" s="130">
        <v>62</v>
      </c>
      <c r="J81" s="131">
        <v>1</v>
      </c>
      <c r="K81" s="132">
        <f t="shared" si="5"/>
        <v>300</v>
      </c>
      <c r="L81" s="30"/>
      <c r="M81" s="30"/>
    </row>
    <row r="82" spans="1:13" ht="15">
      <c r="A82" s="98"/>
      <c r="B82" s="99" t="s">
        <v>263</v>
      </c>
      <c r="C82" s="100" t="s">
        <v>264</v>
      </c>
      <c r="D82" s="101">
        <v>1</v>
      </c>
      <c r="E82" s="102">
        <f t="shared" si="6"/>
        <v>35712</v>
      </c>
      <c r="F82" s="102">
        <f t="shared" si="4"/>
        <v>35712</v>
      </c>
      <c r="G82" s="103"/>
      <c r="H82" s="129">
        <v>384</v>
      </c>
      <c r="I82" s="130">
        <v>62</v>
      </c>
      <c r="J82" s="131">
        <v>1.5</v>
      </c>
      <c r="K82" s="132">
        <f t="shared" si="5"/>
        <v>384</v>
      </c>
      <c r="L82" s="30"/>
      <c r="M82" s="30"/>
    </row>
    <row r="83" spans="1:13">
      <c r="A83" s="98"/>
      <c r="B83" s="99" t="s">
        <v>265</v>
      </c>
      <c r="C83" s="100" t="s">
        <v>266</v>
      </c>
      <c r="D83" s="101">
        <v>1</v>
      </c>
      <c r="E83" s="102">
        <f t="shared" si="6"/>
        <v>89280</v>
      </c>
      <c r="F83" s="102">
        <f t="shared" si="4"/>
        <v>89280</v>
      </c>
      <c r="G83" s="103"/>
      <c r="H83" s="129">
        <v>960</v>
      </c>
      <c r="I83" s="130">
        <v>62</v>
      </c>
      <c r="J83" s="131">
        <v>1.5</v>
      </c>
      <c r="K83" s="132">
        <f t="shared" si="5"/>
        <v>960</v>
      </c>
      <c r="L83" s="30"/>
      <c r="M83" s="30"/>
    </row>
    <row r="84" spans="1:13">
      <c r="A84" s="98"/>
      <c r="B84" s="99" t="s">
        <v>267</v>
      </c>
      <c r="C84" s="100" t="s">
        <v>268</v>
      </c>
      <c r="D84" s="101">
        <v>1</v>
      </c>
      <c r="E84" s="102">
        <f t="shared" si="6"/>
        <v>8246</v>
      </c>
      <c r="F84" s="102">
        <f t="shared" si="4"/>
        <v>8246</v>
      </c>
      <c r="G84" s="103"/>
      <c r="H84" s="129">
        <v>133</v>
      </c>
      <c r="I84" s="130">
        <v>62</v>
      </c>
      <c r="J84" s="131">
        <v>1</v>
      </c>
      <c r="K84" s="132">
        <f t="shared" si="5"/>
        <v>133</v>
      </c>
      <c r="L84" s="30"/>
      <c r="M84" s="30"/>
    </row>
    <row r="85" spans="1:13" ht="15">
      <c r="A85" s="98"/>
      <c r="B85" s="99" t="s">
        <v>229</v>
      </c>
      <c r="C85" s="100" t="s">
        <v>230</v>
      </c>
      <c r="D85" s="101">
        <v>1</v>
      </c>
      <c r="E85" s="102">
        <f t="shared" si="6"/>
        <v>39308</v>
      </c>
      <c r="F85" s="102">
        <f t="shared" si="4"/>
        <v>39308</v>
      </c>
      <c r="G85" s="103"/>
      <c r="H85" s="129">
        <v>634</v>
      </c>
      <c r="I85" s="130">
        <v>62</v>
      </c>
      <c r="J85" s="131">
        <v>1</v>
      </c>
      <c r="K85" s="132">
        <f t="shared" si="5"/>
        <v>634</v>
      </c>
      <c r="L85" s="30"/>
      <c r="M85" s="30"/>
    </row>
    <row r="86" spans="1:13">
      <c r="A86" s="98"/>
      <c r="B86" s="99" t="s">
        <v>231</v>
      </c>
      <c r="C86" s="100" t="s">
        <v>232</v>
      </c>
      <c r="D86" s="101">
        <v>1</v>
      </c>
      <c r="E86" s="102">
        <f t="shared" si="6"/>
        <v>13454</v>
      </c>
      <c r="F86" s="102">
        <f t="shared" si="4"/>
        <v>13454</v>
      </c>
      <c r="G86" s="103"/>
      <c r="H86" s="129">
        <v>217</v>
      </c>
      <c r="I86" s="130">
        <v>62</v>
      </c>
      <c r="J86" s="131">
        <v>1</v>
      </c>
      <c r="K86" s="132">
        <f t="shared" si="5"/>
        <v>217</v>
      </c>
      <c r="L86" s="30"/>
      <c r="M86" s="30"/>
    </row>
    <row r="87" spans="1:13" ht="15">
      <c r="A87" s="98"/>
      <c r="B87" s="99" t="s">
        <v>233</v>
      </c>
      <c r="C87" s="100" t="s">
        <v>234</v>
      </c>
      <c r="D87" s="101">
        <v>1</v>
      </c>
      <c r="E87" s="102">
        <f t="shared" si="6"/>
        <v>2170</v>
      </c>
      <c r="F87" s="102">
        <f t="shared" si="4"/>
        <v>2170</v>
      </c>
      <c r="G87" s="103"/>
      <c r="H87" s="129">
        <v>35</v>
      </c>
      <c r="I87" s="130">
        <v>62</v>
      </c>
      <c r="J87" s="131">
        <v>1</v>
      </c>
      <c r="K87" s="132">
        <f t="shared" si="5"/>
        <v>35</v>
      </c>
      <c r="L87" s="30"/>
      <c r="M87" s="30"/>
    </row>
    <row r="88" spans="1:13" ht="15">
      <c r="A88" s="98"/>
      <c r="B88" s="99" t="s">
        <v>235</v>
      </c>
      <c r="C88" s="100" t="s">
        <v>236</v>
      </c>
      <c r="D88" s="101">
        <v>1</v>
      </c>
      <c r="E88" s="102">
        <f t="shared" si="6"/>
        <v>7626</v>
      </c>
      <c r="F88" s="102">
        <f t="shared" si="4"/>
        <v>7626</v>
      </c>
      <c r="G88" s="103"/>
      <c r="H88" s="129">
        <v>123</v>
      </c>
      <c r="I88" s="130">
        <v>62</v>
      </c>
      <c r="J88" s="131">
        <v>1</v>
      </c>
      <c r="K88" s="132">
        <f t="shared" si="5"/>
        <v>123</v>
      </c>
      <c r="L88" s="30"/>
      <c r="M88" s="30"/>
    </row>
    <row r="89" spans="1:13" ht="15">
      <c r="A89" s="98"/>
      <c r="B89" s="99" t="s">
        <v>237</v>
      </c>
      <c r="C89" s="100" t="s">
        <v>238</v>
      </c>
      <c r="D89" s="101">
        <v>1</v>
      </c>
      <c r="E89" s="102">
        <f t="shared" si="6"/>
        <v>128786.40000000001</v>
      </c>
      <c r="F89" s="102">
        <f t="shared" si="4"/>
        <v>128786.40000000001</v>
      </c>
      <c r="G89" s="103"/>
      <c r="H89" s="129">
        <v>1154</v>
      </c>
      <c r="I89" s="130">
        <v>62</v>
      </c>
      <c r="J89" s="131">
        <v>1.8</v>
      </c>
      <c r="K89" s="132">
        <f t="shared" si="5"/>
        <v>1154</v>
      </c>
      <c r="L89" s="30"/>
      <c r="M89" s="30"/>
    </row>
    <row r="90" spans="1:13">
      <c r="A90" s="98"/>
      <c r="B90" s="99" t="s">
        <v>239</v>
      </c>
      <c r="C90" s="100" t="s">
        <v>240</v>
      </c>
      <c r="D90" s="101">
        <v>1</v>
      </c>
      <c r="E90" s="102">
        <f t="shared" si="6"/>
        <v>14284.800000000001</v>
      </c>
      <c r="F90" s="102">
        <f t="shared" si="4"/>
        <v>14284.800000000001</v>
      </c>
      <c r="G90" s="103"/>
      <c r="H90" s="129">
        <v>128</v>
      </c>
      <c r="I90" s="130">
        <v>62</v>
      </c>
      <c r="J90" s="131">
        <v>1.8</v>
      </c>
      <c r="K90" s="132">
        <f t="shared" si="5"/>
        <v>128</v>
      </c>
      <c r="L90" s="30"/>
      <c r="M90" s="30"/>
    </row>
    <row r="91" spans="1:13">
      <c r="A91" s="98"/>
      <c r="B91" s="99" t="s">
        <v>241</v>
      </c>
      <c r="C91" s="100" t="s">
        <v>242</v>
      </c>
      <c r="D91" s="101">
        <v>1</v>
      </c>
      <c r="E91" s="102">
        <f t="shared" si="6"/>
        <v>18600</v>
      </c>
      <c r="F91" s="102">
        <f t="shared" si="4"/>
        <v>18600</v>
      </c>
      <c r="G91" s="103"/>
      <c r="H91" s="129">
        <v>300</v>
      </c>
      <c r="I91" s="130">
        <v>62</v>
      </c>
      <c r="J91" s="131">
        <v>1</v>
      </c>
      <c r="K91" s="132">
        <f t="shared" si="5"/>
        <v>300</v>
      </c>
      <c r="L91" s="30"/>
      <c r="M91" s="30"/>
    </row>
    <row r="92" spans="1:13">
      <c r="A92" s="98"/>
      <c r="B92" s="99" t="s">
        <v>243</v>
      </c>
      <c r="C92" s="100" t="s">
        <v>244</v>
      </c>
      <c r="D92" s="101">
        <v>1</v>
      </c>
      <c r="E92" s="102">
        <f>H92*I92*J92</f>
        <v>17360</v>
      </c>
      <c r="F92" s="102">
        <f t="shared" si="4"/>
        <v>17360</v>
      </c>
      <c r="G92" s="103"/>
      <c r="H92" s="133">
        <v>140</v>
      </c>
      <c r="I92" s="134">
        <v>62</v>
      </c>
      <c r="J92" s="135">
        <v>2</v>
      </c>
      <c r="K92" s="136">
        <f t="shared" si="5"/>
        <v>140</v>
      </c>
      <c r="L92" s="30"/>
      <c r="M92" s="30"/>
    </row>
    <row r="93" spans="1:13" ht="15">
      <c r="A93" s="98"/>
      <c r="B93" s="254" t="s">
        <v>245</v>
      </c>
      <c r="C93" s="255"/>
      <c r="D93" s="255"/>
      <c r="E93" s="256"/>
      <c r="F93" s="104">
        <f>SUM(F69:F92)</f>
        <v>986643.20000000007</v>
      </c>
      <c r="G93" s="103"/>
      <c r="H93" s="137"/>
      <c r="I93" s="137"/>
      <c r="J93" s="138"/>
      <c r="K93" s="139"/>
      <c r="L93" s="30"/>
      <c r="M93" s="30"/>
    </row>
    <row r="94" spans="1:13" ht="15">
      <c r="H94" s="126"/>
      <c r="I94" s="126"/>
      <c r="J94" s="126"/>
      <c r="K94" s="126"/>
      <c r="L94" s="30"/>
      <c r="M94" s="30"/>
    </row>
    <row r="95" spans="1:13" ht="15">
      <c r="A95" s="94"/>
      <c r="B95" s="252" t="s">
        <v>269</v>
      </c>
      <c r="C95" s="253"/>
      <c r="D95" s="95" t="s">
        <v>213</v>
      </c>
      <c r="E95" s="95" t="s">
        <v>2</v>
      </c>
      <c r="F95" s="96" t="s">
        <v>214</v>
      </c>
      <c r="G95" s="97"/>
      <c r="H95" s="127" t="s">
        <v>385</v>
      </c>
      <c r="I95" s="127" t="s">
        <v>386</v>
      </c>
      <c r="J95" s="127" t="s">
        <v>387</v>
      </c>
      <c r="K95" s="127" t="s">
        <v>388</v>
      </c>
      <c r="L95" s="30"/>
      <c r="M95" s="30"/>
    </row>
    <row r="96" spans="1:13" ht="15">
      <c r="A96" s="98"/>
      <c r="B96" s="99" t="s">
        <v>215</v>
      </c>
      <c r="C96" s="100" t="s">
        <v>216</v>
      </c>
      <c r="D96" s="101">
        <v>1</v>
      </c>
      <c r="E96" s="102">
        <f t="shared" ref="E96:E109" si="7">H96*I96*J96</f>
        <v>93000</v>
      </c>
      <c r="F96" s="102">
        <f t="shared" ref="F96:F110" si="8">E96*D96</f>
        <v>93000</v>
      </c>
      <c r="G96" s="103"/>
      <c r="H96" s="129">
        <v>750</v>
      </c>
      <c r="I96" s="130">
        <v>62</v>
      </c>
      <c r="J96" s="131">
        <v>2</v>
      </c>
      <c r="K96" s="132">
        <f t="shared" ref="K96:K110" si="9">H96*D96</f>
        <v>750</v>
      </c>
      <c r="L96" s="30"/>
      <c r="M96" s="30"/>
    </row>
    <row r="97" spans="1:13" ht="90">
      <c r="A97" s="98"/>
      <c r="B97" s="99" t="s">
        <v>247</v>
      </c>
      <c r="C97" s="100" t="s">
        <v>248</v>
      </c>
      <c r="D97" s="101">
        <v>1</v>
      </c>
      <c r="E97" s="102">
        <f t="shared" si="7"/>
        <v>79236</v>
      </c>
      <c r="F97" s="102">
        <f t="shared" si="8"/>
        <v>79236</v>
      </c>
      <c r="G97" s="103"/>
      <c r="H97" s="129">
        <v>639</v>
      </c>
      <c r="I97" s="130">
        <v>62</v>
      </c>
      <c r="J97" s="131">
        <v>2</v>
      </c>
      <c r="K97" s="132">
        <f t="shared" si="9"/>
        <v>639</v>
      </c>
      <c r="L97" s="30"/>
      <c r="M97" s="30"/>
    </row>
    <row r="98" spans="1:13" ht="75">
      <c r="A98" s="98"/>
      <c r="B98" s="99" t="s">
        <v>270</v>
      </c>
      <c r="C98" s="100" t="s">
        <v>271</v>
      </c>
      <c r="D98" s="101">
        <v>1</v>
      </c>
      <c r="E98" s="102">
        <f t="shared" si="7"/>
        <v>79236</v>
      </c>
      <c r="F98" s="102">
        <f t="shared" si="8"/>
        <v>79236</v>
      </c>
      <c r="G98" s="103"/>
      <c r="H98" s="129">
        <v>639</v>
      </c>
      <c r="I98" s="130">
        <v>62</v>
      </c>
      <c r="J98" s="131">
        <v>2</v>
      </c>
      <c r="K98" s="132">
        <f t="shared" si="9"/>
        <v>639</v>
      </c>
      <c r="L98" s="30"/>
      <c r="M98" s="30"/>
    </row>
    <row r="99" spans="1:13" ht="60">
      <c r="A99" s="98"/>
      <c r="B99" s="99" t="s">
        <v>249</v>
      </c>
      <c r="C99" s="100" t="s">
        <v>250</v>
      </c>
      <c r="D99" s="101">
        <v>1</v>
      </c>
      <c r="E99" s="102">
        <f t="shared" si="7"/>
        <v>7316</v>
      </c>
      <c r="F99" s="102">
        <f t="shared" si="8"/>
        <v>7316</v>
      </c>
      <c r="G99" s="103"/>
      <c r="H99" s="129">
        <v>118</v>
      </c>
      <c r="I99" s="130">
        <v>62</v>
      </c>
      <c r="J99" s="131">
        <v>1</v>
      </c>
      <c r="K99" s="132">
        <f t="shared" si="9"/>
        <v>118</v>
      </c>
      <c r="L99" s="30"/>
      <c r="M99" s="30"/>
    </row>
    <row r="100" spans="1:13" ht="15">
      <c r="A100" s="98"/>
      <c r="B100" s="99" t="s">
        <v>251</v>
      </c>
      <c r="C100" s="100" t="s">
        <v>252</v>
      </c>
      <c r="D100" s="101">
        <v>1</v>
      </c>
      <c r="E100" s="102">
        <f t="shared" si="7"/>
        <v>28520</v>
      </c>
      <c r="F100" s="102">
        <f t="shared" si="8"/>
        <v>28520</v>
      </c>
      <c r="G100" s="103"/>
      <c r="H100" s="129">
        <v>460</v>
      </c>
      <c r="I100" s="130">
        <v>62</v>
      </c>
      <c r="J100" s="131">
        <v>1</v>
      </c>
      <c r="K100" s="132">
        <f t="shared" si="9"/>
        <v>460</v>
      </c>
      <c r="L100" s="30"/>
      <c r="M100" s="30"/>
    </row>
    <row r="101" spans="1:13" ht="15">
      <c r="A101" s="98"/>
      <c r="B101" s="99" t="s">
        <v>253</v>
      </c>
      <c r="C101" s="100" t="s">
        <v>254</v>
      </c>
      <c r="D101" s="101">
        <v>1</v>
      </c>
      <c r="E101" s="102">
        <f t="shared" si="7"/>
        <v>7440</v>
      </c>
      <c r="F101" s="102">
        <f t="shared" si="8"/>
        <v>7440</v>
      </c>
      <c r="G101" s="103"/>
      <c r="H101" s="129">
        <v>120</v>
      </c>
      <c r="I101" s="130">
        <v>62</v>
      </c>
      <c r="J101" s="131">
        <v>1</v>
      </c>
      <c r="K101" s="132">
        <f t="shared" si="9"/>
        <v>120</v>
      </c>
      <c r="L101" s="30"/>
      <c r="M101" s="30"/>
    </row>
    <row r="102" spans="1:13">
      <c r="A102" s="98"/>
      <c r="B102" s="99" t="s">
        <v>255</v>
      </c>
      <c r="C102" s="100" t="s">
        <v>256</v>
      </c>
      <c r="D102" s="101">
        <v>1</v>
      </c>
      <c r="E102" s="102">
        <f t="shared" si="7"/>
        <v>19840</v>
      </c>
      <c r="F102" s="102">
        <f t="shared" si="8"/>
        <v>19840</v>
      </c>
      <c r="G102" s="103"/>
      <c r="H102" s="129">
        <v>320</v>
      </c>
      <c r="I102" s="130">
        <v>62</v>
      </c>
      <c r="J102" s="131">
        <v>1</v>
      </c>
      <c r="K102" s="132">
        <f t="shared" si="9"/>
        <v>320</v>
      </c>
      <c r="L102" s="30"/>
      <c r="M102" s="30"/>
    </row>
    <row r="103" spans="1:13" ht="15">
      <c r="A103" s="98"/>
      <c r="B103" s="99" t="s">
        <v>257</v>
      </c>
      <c r="C103" s="100" t="s">
        <v>258</v>
      </c>
      <c r="D103" s="101">
        <v>1</v>
      </c>
      <c r="E103" s="102">
        <f t="shared" si="7"/>
        <v>11532</v>
      </c>
      <c r="F103" s="102">
        <f t="shared" si="8"/>
        <v>11532</v>
      </c>
      <c r="G103" s="103"/>
      <c r="H103" s="129">
        <v>186</v>
      </c>
      <c r="I103" s="130">
        <v>62</v>
      </c>
      <c r="J103" s="131">
        <v>1</v>
      </c>
      <c r="K103" s="132">
        <f t="shared" si="9"/>
        <v>186</v>
      </c>
      <c r="L103" s="30"/>
      <c r="M103" s="30"/>
    </row>
    <row r="104" spans="1:13" ht="15">
      <c r="A104" s="98"/>
      <c r="B104" s="99" t="s">
        <v>259</v>
      </c>
      <c r="C104" s="100" t="s">
        <v>260</v>
      </c>
      <c r="D104" s="101">
        <v>1</v>
      </c>
      <c r="E104" s="102">
        <f t="shared" si="7"/>
        <v>12028</v>
      </c>
      <c r="F104" s="102">
        <f t="shared" si="8"/>
        <v>12028</v>
      </c>
      <c r="G104" s="103"/>
      <c r="H104" s="129">
        <v>194</v>
      </c>
      <c r="I104" s="130">
        <v>62</v>
      </c>
      <c r="J104" s="131">
        <v>1</v>
      </c>
      <c r="K104" s="132">
        <f t="shared" si="9"/>
        <v>194</v>
      </c>
      <c r="L104" s="30"/>
      <c r="M104" s="30"/>
    </row>
    <row r="105" spans="1:13">
      <c r="A105" s="98"/>
      <c r="B105" s="99" t="s">
        <v>261</v>
      </c>
      <c r="C105" s="100" t="s">
        <v>262</v>
      </c>
      <c r="D105" s="101">
        <v>1</v>
      </c>
      <c r="E105" s="102">
        <f t="shared" si="7"/>
        <v>18600</v>
      </c>
      <c r="F105" s="102">
        <f t="shared" si="8"/>
        <v>18600</v>
      </c>
      <c r="G105" s="103"/>
      <c r="H105" s="129">
        <v>300</v>
      </c>
      <c r="I105" s="130">
        <v>62</v>
      </c>
      <c r="J105" s="131">
        <v>1</v>
      </c>
      <c r="K105" s="132">
        <f t="shared" si="9"/>
        <v>300</v>
      </c>
      <c r="L105" s="30"/>
      <c r="M105" s="30"/>
    </row>
    <row r="106" spans="1:13" ht="15">
      <c r="A106" s="98"/>
      <c r="B106" s="99" t="s">
        <v>263</v>
      </c>
      <c r="C106" s="100" t="s">
        <v>264</v>
      </c>
      <c r="D106" s="101">
        <v>1</v>
      </c>
      <c r="E106" s="102">
        <f t="shared" si="7"/>
        <v>35712</v>
      </c>
      <c r="F106" s="102">
        <f t="shared" si="8"/>
        <v>35712</v>
      </c>
      <c r="G106" s="103"/>
      <c r="H106" s="129">
        <v>384</v>
      </c>
      <c r="I106" s="130">
        <v>62</v>
      </c>
      <c r="J106" s="131">
        <v>1.5</v>
      </c>
      <c r="K106" s="132">
        <f t="shared" si="9"/>
        <v>384</v>
      </c>
      <c r="L106" s="30"/>
      <c r="M106" s="30"/>
    </row>
    <row r="107" spans="1:13">
      <c r="A107" s="98"/>
      <c r="B107" s="99" t="s">
        <v>267</v>
      </c>
      <c r="C107" s="100" t="s">
        <v>268</v>
      </c>
      <c r="D107" s="101">
        <v>1</v>
      </c>
      <c r="E107" s="102">
        <f t="shared" si="7"/>
        <v>8246</v>
      </c>
      <c r="F107" s="102">
        <f t="shared" si="8"/>
        <v>8246</v>
      </c>
      <c r="G107" s="103"/>
      <c r="H107" s="129">
        <v>133</v>
      </c>
      <c r="I107" s="130">
        <v>62</v>
      </c>
      <c r="J107" s="131">
        <v>1</v>
      </c>
      <c r="K107" s="132">
        <f t="shared" si="9"/>
        <v>133</v>
      </c>
      <c r="L107" s="30"/>
      <c r="M107" s="30"/>
    </row>
    <row r="108" spans="1:13" ht="15">
      <c r="A108" s="98"/>
      <c r="B108" s="99" t="s">
        <v>272</v>
      </c>
      <c r="C108" s="100" t="s">
        <v>273</v>
      </c>
      <c r="D108" s="101">
        <v>1</v>
      </c>
      <c r="E108" s="102">
        <f t="shared" si="7"/>
        <v>9548</v>
      </c>
      <c r="F108" s="102">
        <f t="shared" si="8"/>
        <v>9548</v>
      </c>
      <c r="G108" s="103"/>
      <c r="H108" s="129">
        <v>154</v>
      </c>
      <c r="I108" s="130">
        <v>62</v>
      </c>
      <c r="J108" s="131">
        <v>1</v>
      </c>
      <c r="K108" s="132">
        <f t="shared" si="9"/>
        <v>154</v>
      </c>
      <c r="L108" s="30"/>
      <c r="M108" s="30"/>
    </row>
    <row r="109" spans="1:13">
      <c r="A109" s="98"/>
      <c r="B109" s="99" t="s">
        <v>241</v>
      </c>
      <c r="C109" s="100" t="s">
        <v>242</v>
      </c>
      <c r="D109" s="101">
        <v>1</v>
      </c>
      <c r="E109" s="102">
        <f t="shared" si="7"/>
        <v>18600</v>
      </c>
      <c r="F109" s="102">
        <f t="shared" si="8"/>
        <v>18600</v>
      </c>
      <c r="G109" s="103"/>
      <c r="H109" s="129">
        <v>300</v>
      </c>
      <c r="I109" s="130">
        <v>62</v>
      </c>
      <c r="J109" s="131">
        <v>1</v>
      </c>
      <c r="K109" s="132">
        <f t="shared" si="9"/>
        <v>300</v>
      </c>
      <c r="L109" s="30"/>
      <c r="M109" s="30"/>
    </row>
    <row r="110" spans="1:13">
      <c r="A110" s="98"/>
      <c r="B110" s="99" t="s">
        <v>243</v>
      </c>
      <c r="C110" s="100" t="s">
        <v>244</v>
      </c>
      <c r="D110" s="101">
        <v>1</v>
      </c>
      <c r="E110" s="102">
        <f>H110*I110*J110</f>
        <v>17360</v>
      </c>
      <c r="F110" s="102">
        <f t="shared" si="8"/>
        <v>17360</v>
      </c>
      <c r="G110" s="103"/>
      <c r="H110" s="133">
        <v>140</v>
      </c>
      <c r="I110" s="134">
        <v>62</v>
      </c>
      <c r="J110" s="135">
        <v>2</v>
      </c>
      <c r="K110" s="136">
        <f t="shared" si="9"/>
        <v>140</v>
      </c>
      <c r="L110" s="30"/>
      <c r="M110" s="30"/>
    </row>
    <row r="111" spans="1:13" ht="15">
      <c r="A111" s="98"/>
      <c r="B111" s="254" t="s">
        <v>245</v>
      </c>
      <c r="C111" s="255"/>
      <c r="D111" s="255"/>
      <c r="E111" s="256"/>
      <c r="F111" s="104">
        <f>SUM(F96:F110)</f>
        <v>446214</v>
      </c>
      <c r="G111" s="103"/>
      <c r="H111" s="137"/>
      <c r="I111" s="137"/>
      <c r="J111" s="138"/>
      <c r="K111" s="139"/>
      <c r="L111" s="30"/>
      <c r="M111" s="30"/>
    </row>
    <row r="112" spans="1:13" ht="15">
      <c r="H112" s="126"/>
      <c r="I112" s="126"/>
      <c r="J112" s="126"/>
      <c r="K112" s="126"/>
      <c r="L112" s="30"/>
      <c r="M112" s="30"/>
    </row>
    <row r="113" spans="1:13" ht="15">
      <c r="A113" s="94"/>
      <c r="B113" s="252" t="s">
        <v>274</v>
      </c>
      <c r="C113" s="253"/>
      <c r="D113" s="95" t="s">
        <v>213</v>
      </c>
      <c r="E113" s="95" t="s">
        <v>2</v>
      </c>
      <c r="F113" s="96" t="s">
        <v>214</v>
      </c>
      <c r="G113" s="97"/>
      <c r="H113" s="127" t="s">
        <v>385</v>
      </c>
      <c r="I113" s="127" t="s">
        <v>386</v>
      </c>
      <c r="J113" s="127" t="s">
        <v>387</v>
      </c>
      <c r="K113" s="127" t="s">
        <v>388</v>
      </c>
      <c r="L113" s="30"/>
      <c r="M113" s="30"/>
    </row>
    <row r="114" spans="1:13" ht="75">
      <c r="A114" s="98"/>
      <c r="B114" s="99" t="s">
        <v>270</v>
      </c>
      <c r="C114" s="100" t="s">
        <v>271</v>
      </c>
      <c r="D114" s="101">
        <v>1</v>
      </c>
      <c r="E114" s="102">
        <f>H114*I114*J114</f>
        <v>79236</v>
      </c>
      <c r="F114" s="102">
        <f>E114*D114</f>
        <v>79236</v>
      </c>
      <c r="G114" s="103"/>
      <c r="H114" s="129">
        <v>639</v>
      </c>
      <c r="I114" s="130">
        <v>62</v>
      </c>
      <c r="J114" s="131">
        <v>2</v>
      </c>
      <c r="K114" s="132">
        <f>H114*D114</f>
        <v>639</v>
      </c>
      <c r="L114" s="30"/>
      <c r="M114" s="30"/>
    </row>
    <row r="115" spans="1:13" ht="60">
      <c r="A115" s="98"/>
      <c r="B115" s="99" t="s">
        <v>249</v>
      </c>
      <c r="C115" s="100" t="s">
        <v>250</v>
      </c>
      <c r="D115" s="101">
        <v>1</v>
      </c>
      <c r="E115" s="102">
        <f>H115*I115*J115</f>
        <v>7316</v>
      </c>
      <c r="F115" s="102">
        <f>E115*D115</f>
        <v>7316</v>
      </c>
      <c r="G115" s="103"/>
      <c r="H115" s="129">
        <v>118</v>
      </c>
      <c r="I115" s="130">
        <v>62</v>
      </c>
      <c r="J115" s="131">
        <v>1</v>
      </c>
      <c r="K115" s="132">
        <f>H115*D115</f>
        <v>118</v>
      </c>
      <c r="L115" s="30"/>
      <c r="M115" s="30"/>
    </row>
    <row r="116" spans="1:13" ht="15">
      <c r="A116" s="98"/>
      <c r="B116" s="99" t="s">
        <v>275</v>
      </c>
      <c r="C116" s="100" t="s">
        <v>276</v>
      </c>
      <c r="D116" s="101">
        <v>1</v>
      </c>
      <c r="E116" s="102">
        <f>H116*I116*J116</f>
        <v>9672</v>
      </c>
      <c r="F116" s="102">
        <f>E116*D116</f>
        <v>9672</v>
      </c>
      <c r="G116" s="103"/>
      <c r="H116" s="129">
        <v>156</v>
      </c>
      <c r="I116" s="130">
        <v>62</v>
      </c>
      <c r="J116" s="131">
        <v>1</v>
      </c>
      <c r="K116" s="132">
        <f>H116*D116</f>
        <v>156</v>
      </c>
      <c r="L116" s="30"/>
      <c r="M116" s="30"/>
    </row>
    <row r="117" spans="1:13" ht="15">
      <c r="A117" s="98"/>
      <c r="B117" s="99" t="s">
        <v>259</v>
      </c>
      <c r="C117" s="100" t="s">
        <v>260</v>
      </c>
      <c r="D117" s="101">
        <v>1</v>
      </c>
      <c r="E117" s="102">
        <f t="shared" ref="E117:E121" si="10">H117*I117*J117</f>
        <v>12028</v>
      </c>
      <c r="F117" s="102">
        <f t="shared" ref="F117:F122" si="11">E117*D117</f>
        <v>12028</v>
      </c>
      <c r="G117" s="103"/>
      <c r="H117" s="129">
        <v>194</v>
      </c>
      <c r="I117" s="130">
        <v>62</v>
      </c>
      <c r="J117" s="131">
        <v>1</v>
      </c>
      <c r="K117" s="132">
        <f t="shared" ref="K117:K122" si="12">H117*D117</f>
        <v>194</v>
      </c>
      <c r="L117" s="30"/>
      <c r="M117" s="30"/>
    </row>
    <row r="118" spans="1:13">
      <c r="A118" s="98"/>
      <c r="B118" s="99" t="s">
        <v>261</v>
      </c>
      <c r="C118" s="100" t="s">
        <v>262</v>
      </c>
      <c r="D118" s="101">
        <v>1</v>
      </c>
      <c r="E118" s="102">
        <f t="shared" si="10"/>
        <v>18600</v>
      </c>
      <c r="F118" s="102">
        <f t="shared" si="11"/>
        <v>18600</v>
      </c>
      <c r="G118" s="103"/>
      <c r="H118" s="129">
        <v>300</v>
      </c>
      <c r="I118" s="130">
        <v>62</v>
      </c>
      <c r="J118" s="131">
        <v>1</v>
      </c>
      <c r="K118" s="132">
        <f t="shared" si="12"/>
        <v>300</v>
      </c>
      <c r="L118" s="30"/>
      <c r="M118" s="30"/>
    </row>
    <row r="119" spans="1:13">
      <c r="A119" s="98"/>
      <c r="B119" s="99" t="s">
        <v>267</v>
      </c>
      <c r="C119" s="100" t="s">
        <v>268</v>
      </c>
      <c r="D119" s="101">
        <v>1</v>
      </c>
      <c r="E119" s="102">
        <f t="shared" si="10"/>
        <v>8246</v>
      </c>
      <c r="F119" s="102">
        <f t="shared" si="11"/>
        <v>8246</v>
      </c>
      <c r="G119" s="103"/>
      <c r="H119" s="129">
        <v>133</v>
      </c>
      <c r="I119" s="130">
        <v>62</v>
      </c>
      <c r="J119" s="131">
        <v>1</v>
      </c>
      <c r="K119" s="132">
        <f t="shared" si="12"/>
        <v>133</v>
      </c>
      <c r="L119" s="30"/>
      <c r="M119" s="30"/>
    </row>
    <row r="120" spans="1:13" ht="15">
      <c r="A120" s="98"/>
      <c r="B120" s="99" t="s">
        <v>272</v>
      </c>
      <c r="C120" s="100" t="s">
        <v>273</v>
      </c>
      <c r="D120" s="101">
        <v>1</v>
      </c>
      <c r="E120" s="102">
        <f t="shared" si="10"/>
        <v>9548</v>
      </c>
      <c r="F120" s="102">
        <f t="shared" si="11"/>
        <v>9548</v>
      </c>
      <c r="G120" s="103"/>
      <c r="H120" s="129">
        <v>154</v>
      </c>
      <c r="I120" s="130">
        <v>62</v>
      </c>
      <c r="J120" s="131">
        <v>1</v>
      </c>
      <c r="K120" s="132">
        <f t="shared" si="12"/>
        <v>154</v>
      </c>
      <c r="L120" s="30"/>
      <c r="M120" s="30"/>
    </row>
    <row r="121" spans="1:13">
      <c r="A121" s="98"/>
      <c r="B121" s="99" t="s">
        <v>241</v>
      </c>
      <c r="C121" s="100" t="s">
        <v>242</v>
      </c>
      <c r="D121" s="101">
        <v>1</v>
      </c>
      <c r="E121" s="102">
        <f t="shared" si="10"/>
        <v>18600</v>
      </c>
      <c r="F121" s="102">
        <f t="shared" si="11"/>
        <v>18600</v>
      </c>
      <c r="G121" s="103"/>
      <c r="H121" s="129">
        <v>300</v>
      </c>
      <c r="I121" s="130">
        <v>62</v>
      </c>
      <c r="J121" s="131">
        <v>1</v>
      </c>
      <c r="K121" s="132">
        <f t="shared" si="12"/>
        <v>300</v>
      </c>
      <c r="L121" s="30"/>
      <c r="M121" s="30"/>
    </row>
    <row r="122" spans="1:13">
      <c r="A122" s="98"/>
      <c r="B122" s="99" t="s">
        <v>243</v>
      </c>
      <c r="C122" s="100" t="s">
        <v>244</v>
      </c>
      <c r="D122" s="101">
        <v>1</v>
      </c>
      <c r="E122" s="102">
        <f>H122*I122*J122</f>
        <v>17360</v>
      </c>
      <c r="F122" s="102">
        <f t="shared" si="11"/>
        <v>17360</v>
      </c>
      <c r="G122" s="103"/>
      <c r="H122" s="133">
        <v>140</v>
      </c>
      <c r="I122" s="134">
        <v>62</v>
      </c>
      <c r="J122" s="135">
        <v>2</v>
      </c>
      <c r="K122" s="136">
        <f t="shared" si="12"/>
        <v>140</v>
      </c>
      <c r="L122" s="30"/>
      <c r="M122" s="30"/>
    </row>
    <row r="123" spans="1:13" ht="15">
      <c r="A123" s="98"/>
      <c r="B123" s="254" t="s">
        <v>245</v>
      </c>
      <c r="C123" s="255"/>
      <c r="D123" s="255"/>
      <c r="E123" s="256"/>
      <c r="F123" s="104">
        <f>SUM(F114:F122)</f>
        <v>180606</v>
      </c>
      <c r="G123" s="103"/>
      <c r="H123" s="137"/>
      <c r="I123" s="137"/>
      <c r="J123" s="138"/>
      <c r="K123" s="139"/>
      <c r="L123" s="30"/>
      <c r="M123" s="30"/>
    </row>
    <row r="124" spans="1:13" ht="15">
      <c r="H124" s="126"/>
      <c r="I124" s="126"/>
      <c r="J124" s="126"/>
      <c r="K124" s="126"/>
      <c r="L124" s="30"/>
      <c r="M124" s="30"/>
    </row>
    <row r="125" spans="1:13" ht="15">
      <c r="A125" s="94"/>
      <c r="B125" s="252" t="s">
        <v>277</v>
      </c>
      <c r="C125" s="253"/>
      <c r="D125" s="95" t="s">
        <v>213</v>
      </c>
      <c r="E125" s="95" t="s">
        <v>2</v>
      </c>
      <c r="F125" s="96" t="s">
        <v>214</v>
      </c>
      <c r="G125" s="97"/>
      <c r="H125" s="127" t="s">
        <v>385</v>
      </c>
      <c r="I125" s="127" t="s">
        <v>386</v>
      </c>
      <c r="J125" s="127" t="s">
        <v>387</v>
      </c>
      <c r="K125" s="127" t="s">
        <v>388</v>
      </c>
      <c r="L125" s="30"/>
      <c r="M125" s="30"/>
    </row>
    <row r="126" spans="1:13" ht="75">
      <c r="A126" s="98"/>
      <c r="B126" s="99" t="s">
        <v>278</v>
      </c>
      <c r="C126" s="100" t="s">
        <v>279</v>
      </c>
      <c r="D126" s="101">
        <v>1</v>
      </c>
      <c r="E126" s="102">
        <f>H126*I126*J126</f>
        <v>19840</v>
      </c>
      <c r="F126" s="102">
        <f>E126*D126</f>
        <v>19840</v>
      </c>
      <c r="G126" s="103"/>
      <c r="H126" s="129">
        <v>320</v>
      </c>
      <c r="I126" s="130">
        <v>62</v>
      </c>
      <c r="J126" s="131">
        <v>1</v>
      </c>
      <c r="K126" s="132">
        <f>H126*D126</f>
        <v>320</v>
      </c>
      <c r="L126" s="30"/>
      <c r="M126" s="30"/>
    </row>
    <row r="127" spans="1:13" ht="90">
      <c r="A127" s="98"/>
      <c r="B127" s="99" t="s">
        <v>280</v>
      </c>
      <c r="C127" s="100" t="s">
        <v>281</v>
      </c>
      <c r="D127" s="101">
        <v>1</v>
      </c>
      <c r="E127" s="102">
        <f>H127*I127*J127</f>
        <v>43400</v>
      </c>
      <c r="F127" s="102">
        <f>E127*D127</f>
        <v>43400</v>
      </c>
      <c r="G127" s="103"/>
      <c r="H127" s="129">
        <v>700</v>
      </c>
      <c r="I127" s="130">
        <v>62</v>
      </c>
      <c r="J127" s="131">
        <v>1</v>
      </c>
      <c r="K127" s="132">
        <f>H127*D127</f>
        <v>700</v>
      </c>
      <c r="L127" s="30"/>
      <c r="M127" s="30"/>
    </row>
    <row r="128" spans="1:13" ht="90">
      <c r="A128" s="98"/>
      <c r="B128" s="99" t="s">
        <v>282</v>
      </c>
      <c r="C128" s="100" t="s">
        <v>283</v>
      </c>
      <c r="D128" s="101">
        <v>1</v>
      </c>
      <c r="E128" s="102">
        <f>H128*I128*J128</f>
        <v>95170</v>
      </c>
      <c r="F128" s="102">
        <f>E128*D128</f>
        <v>95170</v>
      </c>
      <c r="G128" s="103"/>
      <c r="H128" s="129">
        <v>1535</v>
      </c>
      <c r="I128" s="130">
        <v>62</v>
      </c>
      <c r="J128" s="131">
        <v>1</v>
      </c>
      <c r="K128" s="132">
        <f>H128*D128</f>
        <v>1535</v>
      </c>
      <c r="L128" s="30"/>
      <c r="M128" s="30"/>
    </row>
    <row r="129" spans="1:13">
      <c r="A129" s="98"/>
      <c r="B129" s="99" t="s">
        <v>284</v>
      </c>
      <c r="C129" s="100" t="s">
        <v>285</v>
      </c>
      <c r="D129" s="101">
        <v>1</v>
      </c>
      <c r="E129" s="102">
        <f t="shared" ref="E129:E136" si="13">H129*I129*J129</f>
        <v>7440</v>
      </c>
      <c r="F129" s="102">
        <f t="shared" ref="F129:F137" si="14">E129*D129</f>
        <v>7440</v>
      </c>
      <c r="G129" s="103"/>
      <c r="H129" s="129">
        <v>120</v>
      </c>
      <c r="I129" s="130">
        <v>62</v>
      </c>
      <c r="J129" s="131">
        <v>1</v>
      </c>
      <c r="K129" s="132">
        <f t="shared" ref="K129:K137" si="15">H129*D129</f>
        <v>120</v>
      </c>
      <c r="L129" s="30"/>
      <c r="M129" s="30"/>
    </row>
    <row r="130" spans="1:13" ht="45">
      <c r="A130" s="98"/>
      <c r="B130" s="99" t="s">
        <v>286</v>
      </c>
      <c r="C130" s="100" t="s">
        <v>287</v>
      </c>
      <c r="D130" s="101">
        <v>1</v>
      </c>
      <c r="E130" s="102">
        <f t="shared" si="13"/>
        <v>11904</v>
      </c>
      <c r="F130" s="102">
        <f t="shared" si="14"/>
        <v>11904</v>
      </c>
      <c r="G130" s="103"/>
      <c r="H130" s="129">
        <v>192</v>
      </c>
      <c r="I130" s="130">
        <v>62</v>
      </c>
      <c r="J130" s="131">
        <v>1</v>
      </c>
      <c r="K130" s="132">
        <f t="shared" si="15"/>
        <v>192</v>
      </c>
      <c r="L130" s="30"/>
      <c r="M130" s="30"/>
    </row>
    <row r="131" spans="1:13">
      <c r="A131" s="98"/>
      <c r="B131" s="99" t="s">
        <v>288</v>
      </c>
      <c r="C131" s="100" t="s">
        <v>289</v>
      </c>
      <c r="D131" s="101">
        <v>1</v>
      </c>
      <c r="E131" s="102">
        <f t="shared" si="13"/>
        <v>34100</v>
      </c>
      <c r="F131" s="102">
        <f t="shared" si="14"/>
        <v>34100</v>
      </c>
      <c r="G131" s="103"/>
      <c r="H131" s="129">
        <v>550</v>
      </c>
      <c r="I131" s="130">
        <v>62</v>
      </c>
      <c r="J131" s="131">
        <v>1</v>
      </c>
      <c r="K131" s="132">
        <f t="shared" si="15"/>
        <v>550</v>
      </c>
      <c r="L131" s="30"/>
      <c r="M131" s="30"/>
    </row>
    <row r="132" spans="1:13" ht="75">
      <c r="A132" s="98"/>
      <c r="B132" s="99" t="s">
        <v>290</v>
      </c>
      <c r="C132" s="100" t="s">
        <v>291</v>
      </c>
      <c r="D132" s="101">
        <v>1</v>
      </c>
      <c r="E132" s="102">
        <f t="shared" si="13"/>
        <v>22320</v>
      </c>
      <c r="F132" s="102">
        <f t="shared" si="14"/>
        <v>22320</v>
      </c>
      <c r="G132" s="103"/>
      <c r="H132" s="129">
        <v>360</v>
      </c>
      <c r="I132" s="130">
        <v>62</v>
      </c>
      <c r="J132" s="131">
        <v>1</v>
      </c>
      <c r="K132" s="132">
        <f t="shared" si="15"/>
        <v>360</v>
      </c>
      <c r="L132" s="30"/>
      <c r="M132" s="30"/>
    </row>
    <row r="133" spans="1:13">
      <c r="A133" s="98"/>
      <c r="B133" s="99" t="s">
        <v>292</v>
      </c>
      <c r="C133" s="100" t="s">
        <v>293</v>
      </c>
      <c r="D133" s="101">
        <v>1</v>
      </c>
      <c r="E133" s="102">
        <f t="shared" si="13"/>
        <v>31000</v>
      </c>
      <c r="F133" s="102">
        <f t="shared" si="14"/>
        <v>31000</v>
      </c>
      <c r="G133" s="103"/>
      <c r="H133" s="129">
        <v>500</v>
      </c>
      <c r="I133" s="130">
        <v>62</v>
      </c>
      <c r="J133" s="131">
        <v>1</v>
      </c>
      <c r="K133" s="132">
        <f t="shared" si="15"/>
        <v>500</v>
      </c>
      <c r="L133" s="30"/>
      <c r="M133" s="30"/>
    </row>
    <row r="134" spans="1:13">
      <c r="A134" s="98"/>
      <c r="B134" s="99" t="s">
        <v>294</v>
      </c>
      <c r="C134" s="100" t="s">
        <v>295</v>
      </c>
      <c r="D134" s="101">
        <v>1</v>
      </c>
      <c r="E134" s="102">
        <f t="shared" si="13"/>
        <v>25200</v>
      </c>
      <c r="F134" s="102">
        <f t="shared" si="14"/>
        <v>25200</v>
      </c>
      <c r="G134" s="103"/>
      <c r="H134" s="133">
        <v>400</v>
      </c>
      <c r="I134" s="130">
        <v>63</v>
      </c>
      <c r="J134" s="131">
        <v>1</v>
      </c>
      <c r="K134" s="136">
        <f t="shared" si="15"/>
        <v>400</v>
      </c>
      <c r="L134" s="30"/>
      <c r="M134" s="30"/>
    </row>
    <row r="135" spans="1:13">
      <c r="A135" s="98"/>
      <c r="B135" s="99" t="s">
        <v>296</v>
      </c>
      <c r="C135" s="100" t="s">
        <v>297</v>
      </c>
      <c r="D135" s="101">
        <v>1</v>
      </c>
      <c r="E135" s="102">
        <f t="shared" si="13"/>
        <v>12800</v>
      </c>
      <c r="F135" s="102">
        <f t="shared" si="14"/>
        <v>12800</v>
      </c>
      <c r="G135" s="103"/>
      <c r="H135" s="133">
        <v>200</v>
      </c>
      <c r="I135" s="130">
        <v>64</v>
      </c>
      <c r="J135" s="131">
        <v>1</v>
      </c>
      <c r="K135" s="136">
        <f t="shared" si="15"/>
        <v>200</v>
      </c>
      <c r="L135" s="30"/>
      <c r="M135" s="30"/>
    </row>
    <row r="136" spans="1:13">
      <c r="A136" s="98"/>
      <c r="B136" s="99" t="s">
        <v>298</v>
      </c>
      <c r="C136" s="100" t="s">
        <v>299</v>
      </c>
      <c r="D136" s="101">
        <v>1</v>
      </c>
      <c r="E136" s="102">
        <f t="shared" si="13"/>
        <v>39000</v>
      </c>
      <c r="F136" s="102">
        <f t="shared" si="14"/>
        <v>39000</v>
      </c>
      <c r="G136" s="103"/>
      <c r="H136" s="133">
        <v>600</v>
      </c>
      <c r="I136" s="130">
        <v>65</v>
      </c>
      <c r="J136" s="131">
        <v>1</v>
      </c>
      <c r="K136" s="136">
        <f t="shared" si="15"/>
        <v>600</v>
      </c>
      <c r="L136" s="30"/>
      <c r="M136" s="30"/>
    </row>
    <row r="137" spans="1:13">
      <c r="A137" s="98"/>
      <c r="B137" s="99" t="s">
        <v>300</v>
      </c>
      <c r="C137" s="100" t="s">
        <v>301</v>
      </c>
      <c r="D137" s="101">
        <v>1</v>
      </c>
      <c r="E137" s="102">
        <f>H137*I137*J137</f>
        <v>24800</v>
      </c>
      <c r="F137" s="102">
        <f t="shared" si="14"/>
        <v>24800</v>
      </c>
      <c r="G137" s="103"/>
      <c r="H137" s="133">
        <v>400</v>
      </c>
      <c r="I137" s="134">
        <v>62</v>
      </c>
      <c r="J137" s="135">
        <v>1</v>
      </c>
      <c r="K137" s="136">
        <f t="shared" si="15"/>
        <v>400</v>
      </c>
      <c r="L137" s="30"/>
      <c r="M137" s="30"/>
    </row>
    <row r="138" spans="1:13" ht="15">
      <c r="A138" s="98"/>
      <c r="B138" s="254" t="s">
        <v>245</v>
      </c>
      <c r="C138" s="255"/>
      <c r="D138" s="255"/>
      <c r="E138" s="256"/>
      <c r="F138" s="104">
        <f>SUM(F126:F137)</f>
        <v>366974</v>
      </c>
      <c r="G138" s="103"/>
      <c r="H138" s="137"/>
      <c r="I138" s="137"/>
      <c r="J138" s="138"/>
      <c r="K138" s="139"/>
      <c r="L138" s="30"/>
      <c r="M138" s="30"/>
    </row>
    <row r="139" spans="1:13" ht="15">
      <c r="H139" s="126"/>
      <c r="I139" s="126"/>
      <c r="J139" s="126"/>
      <c r="K139" s="126"/>
      <c r="L139" s="30"/>
      <c r="M139" s="30"/>
    </row>
    <row r="140" spans="1:13" ht="15">
      <c r="A140" s="94"/>
      <c r="B140" s="252" t="s">
        <v>302</v>
      </c>
      <c r="C140" s="253"/>
      <c r="D140" s="95" t="s">
        <v>213</v>
      </c>
      <c r="E140" s="95" t="s">
        <v>2</v>
      </c>
      <c r="F140" s="96" t="s">
        <v>214</v>
      </c>
      <c r="G140" s="97"/>
      <c r="H140" s="127" t="s">
        <v>385</v>
      </c>
      <c r="I140" s="127" t="s">
        <v>386</v>
      </c>
      <c r="J140" s="127" t="s">
        <v>387</v>
      </c>
      <c r="K140" s="127" t="s">
        <v>388</v>
      </c>
      <c r="L140" s="30"/>
      <c r="M140" s="30"/>
    </row>
    <row r="141" spans="1:13" ht="180">
      <c r="A141" s="98"/>
      <c r="B141" s="99" t="s">
        <v>303</v>
      </c>
      <c r="C141" s="100" t="s">
        <v>304</v>
      </c>
      <c r="D141" s="101">
        <v>1</v>
      </c>
      <c r="E141" s="102">
        <f>H141*I141*J141</f>
        <v>160208</v>
      </c>
      <c r="F141" s="102">
        <f>E141*D141</f>
        <v>160208</v>
      </c>
      <c r="G141" s="103"/>
      <c r="H141" s="129">
        <v>1292</v>
      </c>
      <c r="I141" s="130">
        <v>62</v>
      </c>
      <c r="J141" s="131">
        <v>2</v>
      </c>
      <c r="K141" s="132">
        <f>H141*D141</f>
        <v>1292</v>
      </c>
      <c r="L141" s="30"/>
      <c r="M141" s="30"/>
    </row>
    <row r="142" spans="1:13">
      <c r="A142" s="98"/>
      <c r="B142" s="99" t="s">
        <v>305</v>
      </c>
      <c r="C142" s="100" t="s">
        <v>306</v>
      </c>
      <c r="D142" s="101">
        <v>1</v>
      </c>
      <c r="E142" s="102">
        <f>H142*I142*J142</f>
        <v>18104</v>
      </c>
      <c r="F142" s="102">
        <f>E142*D142</f>
        <v>18104</v>
      </c>
      <c r="G142" s="103"/>
      <c r="H142" s="129">
        <v>146</v>
      </c>
      <c r="I142" s="130">
        <v>62</v>
      </c>
      <c r="J142" s="131">
        <v>2</v>
      </c>
      <c r="K142" s="132">
        <f>H142*D142</f>
        <v>146</v>
      </c>
      <c r="L142" s="30"/>
      <c r="M142" s="30"/>
    </row>
    <row r="143" spans="1:13">
      <c r="A143" s="98"/>
      <c r="B143" s="99" t="s">
        <v>307</v>
      </c>
      <c r="C143" s="100" t="s">
        <v>308</v>
      </c>
      <c r="D143" s="101">
        <v>1</v>
      </c>
      <c r="E143" s="102">
        <f>H143*I143*J143</f>
        <v>12152</v>
      </c>
      <c r="F143" s="102">
        <f>E143*D143</f>
        <v>12152</v>
      </c>
      <c r="G143" s="103"/>
      <c r="H143" s="129">
        <v>98</v>
      </c>
      <c r="I143" s="130">
        <v>62</v>
      </c>
      <c r="J143" s="131">
        <v>2</v>
      </c>
      <c r="K143" s="132">
        <f>H143*D143</f>
        <v>98</v>
      </c>
      <c r="L143" s="30"/>
      <c r="M143" s="30"/>
    </row>
    <row r="144" spans="1:13" ht="15">
      <c r="A144" s="98"/>
      <c r="B144" s="99" t="s">
        <v>309</v>
      </c>
      <c r="C144" s="100" t="s">
        <v>310</v>
      </c>
      <c r="D144" s="101">
        <v>1</v>
      </c>
      <c r="E144" s="102">
        <f t="shared" ref="E144:E151" si="16">H144*I144*J144</f>
        <v>1798</v>
      </c>
      <c r="F144" s="102">
        <f t="shared" ref="F144:F151" si="17">E144*D144</f>
        <v>1798</v>
      </c>
      <c r="G144" s="103"/>
      <c r="H144" s="129">
        <v>29</v>
      </c>
      <c r="I144" s="130">
        <v>62</v>
      </c>
      <c r="J144" s="131">
        <v>1</v>
      </c>
      <c r="K144" s="132">
        <f t="shared" ref="K144:K151" si="18">H144*D144</f>
        <v>29</v>
      </c>
      <c r="L144" s="30"/>
      <c r="M144" s="30"/>
    </row>
    <row r="145" spans="1:13" ht="75">
      <c r="A145" s="98"/>
      <c r="B145" s="99" t="s">
        <v>311</v>
      </c>
      <c r="C145" s="100" t="s">
        <v>312</v>
      </c>
      <c r="D145" s="101">
        <v>1</v>
      </c>
      <c r="E145" s="102">
        <f t="shared" si="16"/>
        <v>22940</v>
      </c>
      <c r="F145" s="102">
        <f t="shared" si="17"/>
        <v>22940</v>
      </c>
      <c r="G145" s="103"/>
      <c r="H145" s="129">
        <v>185</v>
      </c>
      <c r="I145" s="130">
        <v>62</v>
      </c>
      <c r="J145" s="131">
        <v>2</v>
      </c>
      <c r="K145" s="132">
        <f t="shared" si="18"/>
        <v>185</v>
      </c>
      <c r="L145" s="30"/>
      <c r="M145" s="30"/>
    </row>
    <row r="146" spans="1:13" ht="45">
      <c r="A146" s="98"/>
      <c r="B146" s="99" t="s">
        <v>313</v>
      </c>
      <c r="C146" s="100" t="s">
        <v>314</v>
      </c>
      <c r="D146" s="101">
        <v>1</v>
      </c>
      <c r="E146" s="102">
        <f t="shared" si="16"/>
        <v>33728</v>
      </c>
      <c r="F146" s="102">
        <f t="shared" si="17"/>
        <v>33728</v>
      </c>
      <c r="G146" s="103"/>
      <c r="H146" s="129">
        <v>272</v>
      </c>
      <c r="I146" s="130">
        <v>62</v>
      </c>
      <c r="J146" s="131">
        <v>2</v>
      </c>
      <c r="K146" s="132">
        <f t="shared" si="18"/>
        <v>272</v>
      </c>
      <c r="L146" s="30"/>
      <c r="M146" s="30"/>
    </row>
    <row r="147" spans="1:13">
      <c r="A147" s="98"/>
      <c r="B147" s="99" t="s">
        <v>315</v>
      </c>
      <c r="C147" s="100" t="s">
        <v>316</v>
      </c>
      <c r="D147" s="101">
        <v>1</v>
      </c>
      <c r="E147" s="102">
        <f t="shared" si="16"/>
        <v>7936</v>
      </c>
      <c r="F147" s="102">
        <f t="shared" si="17"/>
        <v>7936</v>
      </c>
      <c r="G147" s="103"/>
      <c r="H147" s="129">
        <v>64</v>
      </c>
      <c r="I147" s="130">
        <v>62</v>
      </c>
      <c r="J147" s="131">
        <v>2</v>
      </c>
      <c r="K147" s="132">
        <f t="shared" si="18"/>
        <v>64</v>
      </c>
      <c r="L147" s="30"/>
      <c r="M147" s="30"/>
    </row>
    <row r="148" spans="1:13" ht="45">
      <c r="A148" s="98"/>
      <c r="B148" s="99" t="s">
        <v>317</v>
      </c>
      <c r="C148" s="100" t="s">
        <v>318</v>
      </c>
      <c r="D148" s="101">
        <v>1</v>
      </c>
      <c r="E148" s="102">
        <f t="shared" si="16"/>
        <v>9052</v>
      </c>
      <c r="F148" s="102">
        <f t="shared" si="17"/>
        <v>9052</v>
      </c>
      <c r="G148" s="103"/>
      <c r="H148" s="129">
        <v>73</v>
      </c>
      <c r="I148" s="130">
        <v>62</v>
      </c>
      <c r="J148" s="131">
        <v>2</v>
      </c>
      <c r="K148" s="132">
        <f t="shared" si="18"/>
        <v>73</v>
      </c>
      <c r="L148" s="30"/>
      <c r="M148" s="30"/>
    </row>
    <row r="149" spans="1:13" ht="15">
      <c r="A149" s="98"/>
      <c r="B149" s="99" t="s">
        <v>319</v>
      </c>
      <c r="C149" s="100" t="s">
        <v>320</v>
      </c>
      <c r="D149" s="101">
        <v>2</v>
      </c>
      <c r="E149" s="102">
        <f t="shared" si="16"/>
        <v>8060</v>
      </c>
      <c r="F149" s="102">
        <f t="shared" si="17"/>
        <v>16120</v>
      </c>
      <c r="G149" s="103"/>
      <c r="H149" s="129">
        <v>65</v>
      </c>
      <c r="I149" s="130">
        <v>62</v>
      </c>
      <c r="J149" s="131">
        <v>2</v>
      </c>
      <c r="K149" s="132">
        <f t="shared" si="18"/>
        <v>130</v>
      </c>
      <c r="L149" s="30"/>
      <c r="M149" s="30"/>
    </row>
    <row r="150" spans="1:13" ht="15">
      <c r="A150" s="98"/>
      <c r="B150" s="99" t="s">
        <v>321</v>
      </c>
      <c r="C150" s="100" t="s">
        <v>322</v>
      </c>
      <c r="D150" s="101">
        <v>1</v>
      </c>
      <c r="E150" s="102">
        <f t="shared" si="16"/>
        <v>22134</v>
      </c>
      <c r="F150" s="102">
        <f t="shared" si="17"/>
        <v>22134</v>
      </c>
      <c r="G150" s="103"/>
      <c r="H150" s="133">
        <v>238</v>
      </c>
      <c r="I150" s="130">
        <v>62</v>
      </c>
      <c r="J150" s="131">
        <v>1.5</v>
      </c>
      <c r="K150" s="136">
        <f t="shared" si="18"/>
        <v>238</v>
      </c>
      <c r="L150" s="30"/>
      <c r="M150" s="30"/>
    </row>
    <row r="151" spans="1:13" ht="15">
      <c r="A151" s="98"/>
      <c r="B151" s="99" t="s">
        <v>323</v>
      </c>
      <c r="C151" s="100" t="s">
        <v>324</v>
      </c>
      <c r="D151" s="101">
        <v>1</v>
      </c>
      <c r="E151" s="102">
        <f t="shared" si="16"/>
        <v>2356</v>
      </c>
      <c r="F151" s="102">
        <f t="shared" si="17"/>
        <v>2356</v>
      </c>
      <c r="G151" s="103"/>
      <c r="H151" s="133">
        <v>38</v>
      </c>
      <c r="I151" s="130">
        <v>62</v>
      </c>
      <c r="J151" s="131">
        <v>1</v>
      </c>
      <c r="K151" s="136">
        <f t="shared" si="18"/>
        <v>38</v>
      </c>
      <c r="L151" s="30"/>
      <c r="M151" s="30"/>
    </row>
    <row r="152" spans="1:13" ht="15">
      <c r="A152" s="98"/>
      <c r="B152" s="254" t="s">
        <v>245</v>
      </c>
      <c r="C152" s="255"/>
      <c r="D152" s="255"/>
      <c r="E152" s="256"/>
      <c r="F152" s="104">
        <f>SUM(F141:F151)</f>
        <v>306528</v>
      </c>
      <c r="G152" s="103"/>
      <c r="H152" s="137"/>
      <c r="I152" s="137"/>
      <c r="J152" s="138"/>
      <c r="K152" s="139"/>
      <c r="L152" s="30"/>
      <c r="M152" s="30"/>
    </row>
    <row r="153" spans="1:13" ht="15">
      <c r="H153" s="126"/>
      <c r="I153" s="126"/>
      <c r="J153" s="126"/>
      <c r="K153" s="126"/>
      <c r="L153" s="30"/>
      <c r="M153" s="30"/>
    </row>
    <row r="154" spans="1:13" ht="15">
      <c r="A154" s="94"/>
      <c r="B154" s="252" t="s">
        <v>325</v>
      </c>
      <c r="C154" s="253"/>
      <c r="D154" s="95" t="s">
        <v>213</v>
      </c>
      <c r="E154" s="95" t="s">
        <v>2</v>
      </c>
      <c r="F154" s="96" t="s">
        <v>214</v>
      </c>
      <c r="G154" s="97"/>
      <c r="H154" s="127" t="s">
        <v>385</v>
      </c>
      <c r="I154" s="127" t="s">
        <v>386</v>
      </c>
      <c r="J154" s="127" t="s">
        <v>387</v>
      </c>
      <c r="K154" s="127" t="s">
        <v>388</v>
      </c>
      <c r="L154" s="30"/>
      <c r="M154" s="30"/>
    </row>
    <row r="155" spans="1:13" ht="15">
      <c r="A155" s="98"/>
      <c r="B155" s="257" t="s">
        <v>326</v>
      </c>
      <c r="C155" s="258"/>
      <c r="D155" s="101">
        <v>1</v>
      </c>
      <c r="E155" s="102">
        <v>10000</v>
      </c>
      <c r="F155" s="102">
        <f t="shared" ref="F155:F159" si="19">E155*D155</f>
        <v>10000</v>
      </c>
      <c r="G155" s="103"/>
      <c r="H155" s="129">
        <v>64</v>
      </c>
      <c r="I155" s="130">
        <v>62</v>
      </c>
      <c r="J155" s="131">
        <v>2</v>
      </c>
      <c r="K155" s="132">
        <f t="shared" ref="K155:K159" si="20">H155*D155</f>
        <v>64</v>
      </c>
      <c r="L155" s="30"/>
      <c r="M155" s="30"/>
    </row>
    <row r="156" spans="1:13" ht="15">
      <c r="A156" s="98"/>
      <c r="B156" s="257" t="s">
        <v>327</v>
      </c>
      <c r="C156" s="258"/>
      <c r="D156" s="101">
        <v>1</v>
      </c>
      <c r="E156" s="102">
        <v>10000</v>
      </c>
      <c r="F156" s="102">
        <f t="shared" si="19"/>
        <v>10000</v>
      </c>
      <c r="G156" s="103"/>
      <c r="H156" s="129">
        <v>73</v>
      </c>
      <c r="I156" s="130">
        <v>62</v>
      </c>
      <c r="J156" s="131">
        <v>2</v>
      </c>
      <c r="K156" s="132">
        <f t="shared" si="20"/>
        <v>73</v>
      </c>
      <c r="L156" s="30"/>
      <c r="M156" s="30"/>
    </row>
    <row r="157" spans="1:13" ht="15">
      <c r="A157" s="98"/>
      <c r="B157" s="257" t="s">
        <v>328</v>
      </c>
      <c r="C157" s="258"/>
      <c r="D157" s="101">
        <v>2</v>
      </c>
      <c r="E157" s="102">
        <v>5000</v>
      </c>
      <c r="F157" s="102">
        <f t="shared" si="19"/>
        <v>10000</v>
      </c>
      <c r="G157" s="103"/>
      <c r="H157" s="129">
        <v>65</v>
      </c>
      <c r="I157" s="130">
        <v>62</v>
      </c>
      <c r="J157" s="131">
        <v>2</v>
      </c>
      <c r="K157" s="132">
        <f t="shared" si="20"/>
        <v>130</v>
      </c>
      <c r="L157" s="30"/>
      <c r="M157" s="30"/>
    </row>
    <row r="158" spans="1:13" ht="15">
      <c r="A158" s="98"/>
      <c r="B158" s="257" t="s">
        <v>329</v>
      </c>
      <c r="C158" s="258"/>
      <c r="D158" s="101">
        <v>1</v>
      </c>
      <c r="E158" s="102">
        <v>10000</v>
      </c>
      <c r="F158" s="102">
        <f t="shared" si="19"/>
        <v>10000</v>
      </c>
      <c r="G158" s="103"/>
      <c r="H158" s="133">
        <v>238</v>
      </c>
      <c r="I158" s="130">
        <v>62</v>
      </c>
      <c r="J158" s="131">
        <v>1.5</v>
      </c>
      <c r="K158" s="136">
        <f t="shared" si="20"/>
        <v>238</v>
      </c>
      <c r="L158" s="30"/>
      <c r="M158" s="30"/>
    </row>
    <row r="159" spans="1:13" ht="15">
      <c r="A159" s="98"/>
      <c r="B159" s="257" t="s">
        <v>330</v>
      </c>
      <c r="C159" s="258"/>
      <c r="D159" s="101">
        <v>1</v>
      </c>
      <c r="E159" s="102">
        <v>10000</v>
      </c>
      <c r="F159" s="102">
        <f t="shared" si="19"/>
        <v>10000</v>
      </c>
      <c r="G159" s="103"/>
      <c r="H159" s="133">
        <v>38</v>
      </c>
      <c r="I159" s="130">
        <v>62</v>
      </c>
      <c r="J159" s="131">
        <v>1</v>
      </c>
      <c r="K159" s="136">
        <f t="shared" si="20"/>
        <v>38</v>
      </c>
      <c r="L159" s="30"/>
      <c r="M159" s="30"/>
    </row>
    <row r="160" spans="1:13" ht="15">
      <c r="A160" s="98"/>
      <c r="B160" s="254" t="s">
        <v>245</v>
      </c>
      <c r="C160" s="255"/>
      <c r="D160" s="255"/>
      <c r="E160" s="256"/>
      <c r="F160" s="104">
        <f>SUM(F155:F159)</f>
        <v>50000</v>
      </c>
      <c r="G160" s="103"/>
      <c r="H160" s="137"/>
      <c r="I160" s="137"/>
      <c r="J160" s="138"/>
      <c r="K160" s="139"/>
      <c r="L160" s="30"/>
      <c r="M160" s="30"/>
    </row>
    <row r="161" spans="1:13" ht="15">
      <c r="H161" s="126"/>
      <c r="I161" s="126"/>
      <c r="J161" s="126"/>
      <c r="K161" s="126"/>
      <c r="L161" s="30"/>
      <c r="M161" s="30"/>
    </row>
    <row r="162" spans="1:13" ht="15">
      <c r="A162" s="94"/>
      <c r="B162" s="252" t="s">
        <v>331</v>
      </c>
      <c r="C162" s="259"/>
      <c r="D162" s="259"/>
      <c r="E162" s="253"/>
      <c r="F162" s="96"/>
      <c r="G162" s="97"/>
      <c r="H162" s="127" t="s">
        <v>385</v>
      </c>
      <c r="I162" s="127" t="s">
        <v>386</v>
      </c>
      <c r="J162" s="127" t="s">
        <v>387</v>
      </c>
      <c r="K162" s="127" t="s">
        <v>388</v>
      </c>
      <c r="L162" s="30"/>
      <c r="M162" s="30"/>
    </row>
    <row r="163" spans="1:13" ht="15">
      <c r="A163" s="98"/>
      <c r="B163" s="257" t="s">
        <v>332</v>
      </c>
      <c r="C163" s="260"/>
      <c r="D163" s="260"/>
      <c r="E163" s="258"/>
      <c r="F163" s="105"/>
      <c r="G163" s="103"/>
      <c r="H163" s="129">
        <v>64</v>
      </c>
      <c r="I163" s="130">
        <v>62</v>
      </c>
      <c r="J163" s="131">
        <v>2</v>
      </c>
      <c r="K163" s="132">
        <f t="shared" ref="K163" si="21">H163*D163</f>
        <v>0</v>
      </c>
      <c r="L163" s="30"/>
      <c r="M163" s="30"/>
    </row>
    <row r="164" spans="1:13" ht="15">
      <c r="A164" s="98"/>
      <c r="B164" s="254" t="s">
        <v>245</v>
      </c>
      <c r="C164" s="255"/>
      <c r="D164" s="255"/>
      <c r="E164" s="256"/>
      <c r="F164" s="104">
        <v>150000</v>
      </c>
      <c r="G164" s="103"/>
      <c r="H164" s="137"/>
      <c r="I164" s="137"/>
      <c r="J164" s="138"/>
      <c r="K164" s="139"/>
      <c r="L164" s="30"/>
      <c r="M164" s="30"/>
    </row>
    <row r="165" spans="1:13" ht="15">
      <c r="H165" s="126"/>
      <c r="I165" s="126"/>
      <c r="J165" s="126"/>
      <c r="K165" s="126"/>
      <c r="L165" s="30"/>
      <c r="M165" s="30"/>
    </row>
    <row r="166" spans="1:13" ht="15">
      <c r="B166" s="106" t="s">
        <v>245</v>
      </c>
      <c r="C166" s="107"/>
      <c r="D166" s="107"/>
      <c r="E166" s="107"/>
      <c r="F166" s="108">
        <f>SUM(F164,F160,F152,F138,F123,F111,F93,F66,)</f>
        <v>3329458.4000000004</v>
      </c>
      <c r="H166" s="126"/>
      <c r="I166" s="126"/>
      <c r="J166" s="126"/>
      <c r="K166" s="126"/>
      <c r="L166" s="30"/>
      <c r="M166" s="30"/>
    </row>
    <row r="167" spans="1:13" ht="15">
      <c r="H167" s="126"/>
      <c r="I167" s="126"/>
      <c r="J167" s="126"/>
      <c r="K167" s="126"/>
      <c r="L167" s="30"/>
      <c r="M167" s="30"/>
    </row>
    <row r="168" spans="1:13" ht="15">
      <c r="A168" s="94"/>
      <c r="B168" s="252" t="s">
        <v>333</v>
      </c>
      <c r="C168" s="253"/>
      <c r="D168" s="95" t="s">
        <v>213</v>
      </c>
      <c r="E168" s="95" t="s">
        <v>2</v>
      </c>
      <c r="F168" s="96" t="s">
        <v>214</v>
      </c>
      <c r="G168" s="97"/>
      <c r="H168" s="127" t="s">
        <v>385</v>
      </c>
      <c r="I168" s="127" t="s">
        <v>386</v>
      </c>
      <c r="J168" s="127" t="s">
        <v>387</v>
      </c>
      <c r="K168" s="127" t="s">
        <v>388</v>
      </c>
      <c r="L168" s="30"/>
      <c r="M168" s="30"/>
    </row>
    <row r="169" spans="1:13">
      <c r="A169" s="98"/>
      <c r="B169" s="99" t="s">
        <v>334</v>
      </c>
      <c r="C169" s="100" t="s">
        <v>335</v>
      </c>
      <c r="D169" s="101">
        <v>1</v>
      </c>
      <c r="E169" s="102">
        <v>6500</v>
      </c>
      <c r="F169" s="102">
        <f>E169*D169</f>
        <v>6500</v>
      </c>
      <c r="G169" s="103"/>
      <c r="H169" s="129"/>
      <c r="I169" s="130"/>
      <c r="J169" s="131"/>
      <c r="K169" s="132"/>
      <c r="L169" s="30"/>
      <c r="M169" s="30"/>
    </row>
    <row r="170" spans="1:13" ht="15">
      <c r="A170" s="98"/>
      <c r="B170" s="99" t="s">
        <v>336</v>
      </c>
      <c r="C170" s="100" t="s">
        <v>337</v>
      </c>
      <c r="D170" s="101">
        <v>1</v>
      </c>
      <c r="E170" s="102">
        <v>1100</v>
      </c>
      <c r="F170" s="102">
        <f>E170*D170</f>
        <v>1100</v>
      </c>
      <c r="G170" s="103"/>
      <c r="H170" s="129"/>
      <c r="I170" s="130"/>
      <c r="J170" s="131"/>
      <c r="K170" s="132"/>
      <c r="L170" s="30"/>
      <c r="M170" s="30"/>
    </row>
    <row r="171" spans="1:13">
      <c r="A171" s="98"/>
      <c r="B171" s="99" t="s">
        <v>338</v>
      </c>
      <c r="C171" s="100" t="s">
        <v>339</v>
      </c>
      <c r="D171" s="101">
        <v>1</v>
      </c>
      <c r="E171" s="102">
        <v>124</v>
      </c>
      <c r="F171" s="102">
        <f>E171*D171</f>
        <v>124</v>
      </c>
      <c r="G171" s="103"/>
      <c r="H171" s="129"/>
      <c r="I171" s="130"/>
      <c r="J171" s="131"/>
      <c r="K171" s="132"/>
      <c r="L171" s="30"/>
      <c r="M171" s="30"/>
    </row>
    <row r="172" spans="1:13" ht="15">
      <c r="A172" s="98"/>
      <c r="B172" s="99" t="s">
        <v>340</v>
      </c>
      <c r="C172" s="100" t="s">
        <v>341</v>
      </c>
      <c r="D172" s="101">
        <v>1</v>
      </c>
      <c r="E172" s="102">
        <v>223.2</v>
      </c>
      <c r="F172" s="102">
        <f t="shared" ref="F172:F173" si="22">E172*D172</f>
        <v>223.2</v>
      </c>
      <c r="G172" s="103"/>
      <c r="H172" s="129"/>
      <c r="I172" s="130"/>
      <c r="J172" s="131"/>
      <c r="K172" s="132"/>
      <c r="L172" s="30"/>
      <c r="M172" s="30"/>
    </row>
    <row r="173" spans="1:13" ht="15">
      <c r="A173" s="98"/>
      <c r="B173" s="99" t="s">
        <v>342</v>
      </c>
      <c r="C173" s="100" t="s">
        <v>343</v>
      </c>
      <c r="D173" s="101">
        <v>1</v>
      </c>
      <c r="E173" s="102">
        <v>325</v>
      </c>
      <c r="F173" s="102">
        <f t="shared" si="22"/>
        <v>325</v>
      </c>
      <c r="G173" s="103"/>
      <c r="H173" s="129"/>
      <c r="I173" s="130"/>
      <c r="J173" s="131"/>
      <c r="K173" s="132"/>
      <c r="L173" s="30"/>
      <c r="M173" s="30"/>
    </row>
    <row r="174" spans="1:13" ht="15">
      <c r="A174" s="98"/>
      <c r="B174" s="254"/>
      <c r="C174" s="255"/>
      <c r="D174" s="255"/>
      <c r="E174" s="256"/>
      <c r="F174" s="109"/>
      <c r="G174" s="103"/>
      <c r="H174" s="137"/>
      <c r="I174" s="137"/>
      <c r="J174" s="138"/>
      <c r="K174" s="139"/>
      <c r="L174" s="30"/>
      <c r="M174" s="30"/>
    </row>
    <row r="175" spans="1:13" ht="15">
      <c r="H175" s="126"/>
      <c r="I175" s="126"/>
      <c r="J175" s="126"/>
      <c r="K175" s="126"/>
      <c r="L175" s="30"/>
      <c r="M175" s="30"/>
    </row>
    <row r="176" spans="1:13" ht="15">
      <c r="A176" s="94"/>
      <c r="B176" s="252" t="s">
        <v>344</v>
      </c>
      <c r="C176" s="253"/>
      <c r="D176" s="95" t="s">
        <v>213</v>
      </c>
      <c r="E176" s="95" t="s">
        <v>2</v>
      </c>
      <c r="F176" s="96" t="s">
        <v>214</v>
      </c>
      <c r="G176" s="97"/>
      <c r="H176" s="127" t="s">
        <v>385</v>
      </c>
      <c r="I176" s="127" t="s">
        <v>386</v>
      </c>
      <c r="J176" s="127" t="s">
        <v>387</v>
      </c>
      <c r="K176" s="127" t="s">
        <v>388</v>
      </c>
      <c r="L176" s="30"/>
      <c r="M176" s="30"/>
    </row>
    <row r="177" spans="1:13" ht="60">
      <c r="A177" s="98"/>
      <c r="B177" s="99" t="s">
        <v>345</v>
      </c>
      <c r="C177" s="100" t="s">
        <v>346</v>
      </c>
      <c r="D177" s="101">
        <v>1</v>
      </c>
      <c r="E177" s="102">
        <v>70000</v>
      </c>
      <c r="F177" s="102">
        <f>E177*D177</f>
        <v>70000</v>
      </c>
      <c r="G177" s="103"/>
      <c r="H177" s="129"/>
      <c r="I177" s="130"/>
      <c r="J177" s="131"/>
      <c r="K177" s="132"/>
      <c r="L177" s="30"/>
      <c r="M177" s="30"/>
    </row>
    <row r="178" spans="1:13" ht="60">
      <c r="A178" s="98"/>
      <c r="B178" s="99" t="s">
        <v>347</v>
      </c>
      <c r="C178" s="100" t="s">
        <v>346</v>
      </c>
      <c r="D178" s="101">
        <v>1</v>
      </c>
      <c r="E178" s="102">
        <v>100000</v>
      </c>
      <c r="F178" s="102">
        <f>E178*D178</f>
        <v>100000</v>
      </c>
      <c r="G178" s="103"/>
      <c r="H178" s="129"/>
      <c r="I178" s="130"/>
      <c r="J178" s="131"/>
      <c r="K178" s="132"/>
      <c r="L178" s="30"/>
      <c r="M178" s="30"/>
    </row>
    <row r="179" spans="1:13" ht="15">
      <c r="A179" s="98"/>
      <c r="B179" s="254"/>
      <c r="C179" s="255"/>
      <c r="D179" s="255"/>
      <c r="E179" s="256"/>
      <c r="F179" s="109"/>
      <c r="G179" s="103"/>
      <c r="H179" s="137"/>
      <c r="I179" s="137"/>
      <c r="J179" s="138"/>
      <c r="K179" s="139"/>
      <c r="L179" s="30"/>
      <c r="M179" s="30"/>
    </row>
    <row r="180" spans="1:13" ht="15">
      <c r="H180" s="126"/>
      <c r="I180" s="126"/>
      <c r="J180" s="126"/>
      <c r="K180" s="126"/>
      <c r="L180" s="30"/>
      <c r="M180" s="30"/>
    </row>
    <row r="181" spans="1:13" ht="15">
      <c r="B181" s="59" t="s">
        <v>348</v>
      </c>
      <c r="H181" s="126"/>
      <c r="I181" s="126"/>
      <c r="J181" s="126"/>
      <c r="K181" s="126"/>
      <c r="L181" s="30"/>
      <c r="M181" s="30"/>
    </row>
    <row r="182" spans="1:13" ht="15">
      <c r="H182" s="126"/>
      <c r="I182" s="126"/>
      <c r="J182" s="126"/>
      <c r="K182" s="126"/>
      <c r="L182" s="30"/>
      <c r="M182" s="30"/>
    </row>
    <row r="183" spans="1:13" ht="15">
      <c r="A183" s="94"/>
      <c r="B183" s="252" t="s">
        <v>349</v>
      </c>
      <c r="C183" s="253"/>
      <c r="D183" s="95" t="s">
        <v>213</v>
      </c>
      <c r="E183" s="95" t="s">
        <v>2</v>
      </c>
      <c r="F183" s="96" t="s">
        <v>214</v>
      </c>
      <c r="G183" s="97"/>
      <c r="H183" s="127" t="s">
        <v>385</v>
      </c>
      <c r="I183" s="127" t="s">
        <v>386</v>
      </c>
      <c r="J183" s="127" t="s">
        <v>387</v>
      </c>
      <c r="K183" s="127" t="s">
        <v>388</v>
      </c>
      <c r="L183" s="30"/>
      <c r="M183" s="30"/>
    </row>
    <row r="184" spans="1:13" ht="15">
      <c r="A184" s="98"/>
      <c r="B184" s="99" t="s">
        <v>350</v>
      </c>
      <c r="C184" s="100" t="s">
        <v>351</v>
      </c>
      <c r="D184" s="101">
        <v>1</v>
      </c>
      <c r="E184" s="102">
        <f>H184*I184*J184</f>
        <v>854074.8</v>
      </c>
      <c r="F184" s="102">
        <f>E184*D184</f>
        <v>854074.8</v>
      </c>
      <c r="G184" s="103"/>
      <c r="H184" s="129">
        <v>7653</v>
      </c>
      <c r="I184" s="130">
        <v>62</v>
      </c>
      <c r="J184" s="131">
        <v>1.8</v>
      </c>
      <c r="K184" s="132">
        <f>H184*D184</f>
        <v>7653</v>
      </c>
      <c r="L184" s="30"/>
      <c r="M184" s="30"/>
    </row>
    <row r="185" spans="1:13" ht="15">
      <c r="A185" s="98"/>
      <c r="B185" s="99" t="s">
        <v>352</v>
      </c>
      <c r="C185" s="100" t="s">
        <v>353</v>
      </c>
      <c r="D185" s="101">
        <v>1</v>
      </c>
      <c r="E185" s="102">
        <f>H185*I185*J185</f>
        <v>107136</v>
      </c>
      <c r="F185" s="102">
        <f>E185*D185</f>
        <v>107136</v>
      </c>
      <c r="G185" s="103"/>
      <c r="H185" s="129">
        <v>960</v>
      </c>
      <c r="I185" s="130">
        <v>62</v>
      </c>
      <c r="J185" s="131">
        <v>1.8</v>
      </c>
      <c r="K185" s="132">
        <f>H185*D185</f>
        <v>960</v>
      </c>
      <c r="L185" s="30"/>
      <c r="M185" s="30"/>
    </row>
    <row r="186" spans="1:13">
      <c r="A186" s="98"/>
      <c r="B186" s="99" t="s">
        <v>354</v>
      </c>
      <c r="C186" s="100" t="s">
        <v>355</v>
      </c>
      <c r="D186" s="101">
        <v>1</v>
      </c>
      <c r="E186" s="102">
        <f>H186*I186*J186</f>
        <v>84816</v>
      </c>
      <c r="F186" s="102">
        <f>E186*D186</f>
        <v>84816</v>
      </c>
      <c r="G186" s="103"/>
      <c r="H186" s="129">
        <v>760</v>
      </c>
      <c r="I186" s="130">
        <v>62</v>
      </c>
      <c r="J186" s="131">
        <v>1.8</v>
      </c>
      <c r="K186" s="132">
        <f>H186*D186</f>
        <v>760</v>
      </c>
      <c r="L186" s="30"/>
      <c r="M186" s="30"/>
    </row>
    <row r="187" spans="1:13">
      <c r="A187" s="98"/>
      <c r="B187" s="99" t="s">
        <v>356</v>
      </c>
      <c r="C187" s="100" t="s">
        <v>357</v>
      </c>
      <c r="D187" s="101">
        <v>1</v>
      </c>
      <c r="E187" s="102">
        <f t="shared" ref="E187:E190" si="23">H187*I187*J187</f>
        <v>209808</v>
      </c>
      <c r="F187" s="102">
        <f t="shared" ref="F187:F190" si="24">E187*D187</f>
        <v>209808</v>
      </c>
      <c r="G187" s="103"/>
      <c r="H187" s="129">
        <v>1880</v>
      </c>
      <c r="I187" s="130">
        <v>62</v>
      </c>
      <c r="J187" s="131">
        <v>1.8</v>
      </c>
      <c r="K187" s="132">
        <f t="shared" ref="K187:K190" si="25">H187*D187</f>
        <v>1880</v>
      </c>
      <c r="L187" s="30"/>
      <c r="M187" s="30"/>
    </row>
    <row r="188" spans="1:13" ht="15">
      <c r="A188" s="98"/>
      <c r="B188" s="99" t="s">
        <v>358</v>
      </c>
      <c r="C188" s="100" t="s">
        <v>359</v>
      </c>
      <c r="D188" s="101">
        <v>1</v>
      </c>
      <c r="E188" s="102">
        <f t="shared" si="23"/>
        <v>84927.6</v>
      </c>
      <c r="F188" s="102">
        <f t="shared" si="24"/>
        <v>84927.6</v>
      </c>
      <c r="G188" s="103"/>
      <c r="H188" s="129">
        <v>761</v>
      </c>
      <c r="I188" s="130">
        <v>62</v>
      </c>
      <c r="J188" s="131">
        <v>1.8</v>
      </c>
      <c r="K188" s="132">
        <f t="shared" si="25"/>
        <v>761</v>
      </c>
      <c r="L188" s="30"/>
      <c r="M188" s="30"/>
    </row>
    <row r="189" spans="1:13">
      <c r="A189" s="98"/>
      <c r="B189" s="99" t="s">
        <v>360</v>
      </c>
      <c r="C189" s="100" t="s">
        <v>361</v>
      </c>
      <c r="D189" s="101">
        <v>1</v>
      </c>
      <c r="E189" s="102">
        <f t="shared" si="23"/>
        <v>112716</v>
      </c>
      <c r="F189" s="102">
        <f t="shared" si="24"/>
        <v>112716</v>
      </c>
      <c r="G189" s="103"/>
      <c r="H189" s="129">
        <v>1010</v>
      </c>
      <c r="I189" s="130">
        <v>62</v>
      </c>
      <c r="J189" s="131">
        <v>1.8</v>
      </c>
      <c r="K189" s="132">
        <f t="shared" si="25"/>
        <v>1010</v>
      </c>
      <c r="L189" s="30"/>
      <c r="M189" s="30"/>
    </row>
    <row r="190" spans="1:13" ht="15">
      <c r="A190" s="98"/>
      <c r="B190" s="99" t="s">
        <v>362</v>
      </c>
      <c r="C190" s="100" t="s">
        <v>363</v>
      </c>
      <c r="D190" s="101">
        <v>1</v>
      </c>
      <c r="E190" s="102">
        <f t="shared" si="23"/>
        <v>47541.599999999999</v>
      </c>
      <c r="F190" s="102">
        <f t="shared" si="24"/>
        <v>47541.599999999999</v>
      </c>
      <c r="G190" s="103"/>
      <c r="H190" s="129">
        <v>426</v>
      </c>
      <c r="I190" s="130">
        <v>62</v>
      </c>
      <c r="J190" s="131">
        <v>1.8</v>
      </c>
      <c r="K190" s="132">
        <f t="shared" si="25"/>
        <v>426</v>
      </c>
      <c r="L190" s="30"/>
      <c r="M190" s="30"/>
    </row>
    <row r="191" spans="1:13" ht="15">
      <c r="A191" s="98"/>
      <c r="B191" s="254" t="s">
        <v>245</v>
      </c>
      <c r="C191" s="255"/>
      <c r="D191" s="255"/>
      <c r="E191" s="256"/>
      <c r="F191" s="104">
        <f>SUM(F184:F190)</f>
        <v>1501020.0000000002</v>
      </c>
      <c r="G191" s="103"/>
      <c r="H191" s="137"/>
      <c r="I191" s="137"/>
      <c r="J191" s="138"/>
      <c r="K191" s="139"/>
      <c r="L191" s="30"/>
      <c r="M191" s="30"/>
    </row>
    <row r="192" spans="1:13" ht="15">
      <c r="H192" s="126"/>
      <c r="I192" s="126"/>
      <c r="J192" s="126"/>
      <c r="K192" s="126"/>
      <c r="L192" s="30"/>
      <c r="M192" s="30"/>
    </row>
    <row r="193" spans="1:13" ht="15">
      <c r="A193" s="94"/>
      <c r="B193" s="252" t="s">
        <v>364</v>
      </c>
      <c r="C193" s="253"/>
      <c r="D193" s="95" t="s">
        <v>213</v>
      </c>
      <c r="E193" s="95" t="s">
        <v>2</v>
      </c>
      <c r="F193" s="96" t="s">
        <v>214</v>
      </c>
      <c r="G193" s="97"/>
      <c r="H193" s="127" t="s">
        <v>385</v>
      </c>
      <c r="I193" s="127" t="s">
        <v>386</v>
      </c>
      <c r="J193" s="127" t="s">
        <v>387</v>
      </c>
      <c r="K193" s="127" t="s">
        <v>388</v>
      </c>
      <c r="L193" s="30"/>
      <c r="M193" s="30"/>
    </row>
    <row r="194" spans="1:13">
      <c r="A194" s="98"/>
      <c r="B194" s="99" t="s">
        <v>365</v>
      </c>
      <c r="C194" s="100" t="s">
        <v>366</v>
      </c>
      <c r="D194" s="101">
        <v>1</v>
      </c>
      <c r="E194" s="102">
        <f>H194*I194*J194</f>
        <v>62496</v>
      </c>
      <c r="F194" s="102">
        <f>E194*D194</f>
        <v>62496</v>
      </c>
      <c r="G194" s="103"/>
      <c r="H194" s="129">
        <v>560</v>
      </c>
      <c r="I194" s="130">
        <v>62</v>
      </c>
      <c r="J194" s="131">
        <v>1.8</v>
      </c>
      <c r="K194" s="132">
        <f>H194*D194</f>
        <v>560</v>
      </c>
      <c r="L194" s="30"/>
      <c r="M194" s="30"/>
    </row>
    <row r="195" spans="1:13">
      <c r="A195" s="98"/>
      <c r="B195" s="99" t="s">
        <v>367</v>
      </c>
      <c r="C195" s="100" t="s">
        <v>368</v>
      </c>
      <c r="D195" s="101">
        <v>1</v>
      </c>
      <c r="E195" s="102">
        <f>H195*I195*J195</f>
        <v>72540</v>
      </c>
      <c r="F195" s="102">
        <f>E195*D195</f>
        <v>72540</v>
      </c>
      <c r="G195" s="103"/>
      <c r="H195" s="129">
        <v>650</v>
      </c>
      <c r="I195" s="130">
        <v>62</v>
      </c>
      <c r="J195" s="131">
        <v>1.8</v>
      </c>
      <c r="K195" s="132">
        <f>H195*D195</f>
        <v>650</v>
      </c>
      <c r="L195" s="30"/>
      <c r="M195" s="30"/>
    </row>
    <row r="196" spans="1:13">
      <c r="A196" s="98"/>
      <c r="B196" s="99" t="s">
        <v>369</v>
      </c>
      <c r="C196" s="100" t="s">
        <v>370</v>
      </c>
      <c r="D196" s="101">
        <v>1</v>
      </c>
      <c r="E196" s="102">
        <f>H196*I196*J196</f>
        <v>311364</v>
      </c>
      <c r="F196" s="102">
        <f>E196*D196</f>
        <v>311364</v>
      </c>
      <c r="G196" s="103"/>
      <c r="H196" s="129">
        <v>2790</v>
      </c>
      <c r="I196" s="130">
        <v>62</v>
      </c>
      <c r="J196" s="131">
        <v>1.8</v>
      </c>
      <c r="K196" s="132">
        <f>H196*D196</f>
        <v>2790</v>
      </c>
      <c r="L196" s="30"/>
      <c r="M196" s="30"/>
    </row>
    <row r="197" spans="1:13" ht="15">
      <c r="A197" s="98"/>
      <c r="B197" s="254" t="s">
        <v>245</v>
      </c>
      <c r="C197" s="255"/>
      <c r="D197" s="255"/>
      <c r="E197" s="256"/>
      <c r="F197" s="104">
        <f>SUM(F194:F196)</f>
        <v>446400</v>
      </c>
      <c r="G197" s="103"/>
      <c r="H197" s="137"/>
      <c r="I197" s="137"/>
      <c r="J197" s="138"/>
      <c r="K197" s="139"/>
      <c r="L197" s="30"/>
      <c r="M197" s="30"/>
    </row>
    <row r="198" spans="1:13" ht="15">
      <c r="H198" s="126"/>
      <c r="I198" s="126"/>
      <c r="J198" s="126"/>
      <c r="K198" s="126"/>
      <c r="L198" s="30"/>
      <c r="M198" s="30"/>
    </row>
    <row r="199" spans="1:13" ht="15">
      <c r="B199" s="30" t="s">
        <v>371</v>
      </c>
      <c r="H199" s="126"/>
      <c r="I199" s="126"/>
      <c r="J199" s="126"/>
      <c r="K199" s="126"/>
      <c r="L199" s="30"/>
      <c r="M199" s="30"/>
    </row>
    <row r="200" spans="1:13" ht="15">
      <c r="H200" s="126"/>
      <c r="I200" s="126"/>
      <c r="J200" s="126"/>
      <c r="K200" s="126"/>
      <c r="L200" s="30"/>
      <c r="M200" s="30"/>
    </row>
    <row r="201" spans="1:13" ht="15">
      <c r="A201" s="94"/>
      <c r="B201" s="252" t="s">
        <v>372</v>
      </c>
      <c r="C201" s="253"/>
      <c r="D201" s="95" t="s">
        <v>213</v>
      </c>
      <c r="E201" s="95" t="s">
        <v>2</v>
      </c>
      <c r="F201" s="96" t="s">
        <v>214</v>
      </c>
      <c r="G201" s="97"/>
      <c r="H201" s="127" t="s">
        <v>385</v>
      </c>
      <c r="I201" s="127" t="s">
        <v>386</v>
      </c>
      <c r="J201" s="127" t="s">
        <v>387</v>
      </c>
      <c r="K201" s="127" t="s">
        <v>388</v>
      </c>
      <c r="L201" s="30"/>
      <c r="M201" s="30"/>
    </row>
    <row r="202" spans="1:13" ht="150">
      <c r="A202" s="98"/>
      <c r="B202" s="99" t="s">
        <v>373</v>
      </c>
      <c r="C202" s="100" t="s">
        <v>374</v>
      </c>
      <c r="D202" s="101">
        <v>1</v>
      </c>
      <c r="E202" s="102">
        <f>H202*I202*J202</f>
        <v>236034</v>
      </c>
      <c r="F202" s="102">
        <f>E202*D202</f>
        <v>236034</v>
      </c>
      <c r="G202" s="103"/>
      <c r="H202" s="129">
        <v>2115</v>
      </c>
      <c r="I202" s="130">
        <v>62</v>
      </c>
      <c r="J202" s="131">
        <v>1.8</v>
      </c>
      <c r="K202" s="132">
        <f>H202*D202</f>
        <v>2115</v>
      </c>
      <c r="L202" s="30"/>
      <c r="M202" s="30"/>
    </row>
    <row r="203" spans="1:13" ht="180">
      <c r="A203" s="98"/>
      <c r="B203" s="99" t="s">
        <v>375</v>
      </c>
      <c r="C203" s="100" t="s">
        <v>376</v>
      </c>
      <c r="D203" s="101">
        <v>1</v>
      </c>
      <c r="E203" s="102">
        <f>H203*I203*J203</f>
        <v>424080</v>
      </c>
      <c r="F203" s="102">
        <f>E203*D203</f>
        <v>424080</v>
      </c>
      <c r="G203" s="103"/>
      <c r="H203" s="129">
        <v>3800</v>
      </c>
      <c r="I203" s="130">
        <v>62</v>
      </c>
      <c r="J203" s="131">
        <v>1.8</v>
      </c>
      <c r="K203" s="132">
        <f>H203*D203</f>
        <v>3800</v>
      </c>
      <c r="L203" s="30"/>
      <c r="M203" s="30"/>
    </row>
    <row r="204" spans="1:13">
      <c r="A204" s="98"/>
      <c r="B204" s="99" t="s">
        <v>377</v>
      </c>
      <c r="C204" s="100" t="s">
        <v>378</v>
      </c>
      <c r="D204" s="101">
        <v>2</v>
      </c>
      <c r="E204" s="102">
        <f>H204*I204*J204</f>
        <v>89094</v>
      </c>
      <c r="F204" s="102">
        <f>E204*D204</f>
        <v>178188</v>
      </c>
      <c r="G204" s="103"/>
      <c r="H204" s="129">
        <v>958</v>
      </c>
      <c r="I204" s="130">
        <v>62</v>
      </c>
      <c r="J204" s="131">
        <v>1.5</v>
      </c>
      <c r="K204" s="132">
        <f>H204*D204</f>
        <v>1916</v>
      </c>
      <c r="L204" s="30"/>
      <c r="M204" s="30"/>
    </row>
    <row r="205" spans="1:13" ht="15">
      <c r="A205" s="98"/>
      <c r="B205" s="99" t="s">
        <v>379</v>
      </c>
      <c r="C205" s="100" t="s">
        <v>380</v>
      </c>
      <c r="D205" s="101">
        <v>2</v>
      </c>
      <c r="E205" s="102">
        <f t="shared" ref="E205:E206" si="26">H205*I205*J205</f>
        <v>3906</v>
      </c>
      <c r="F205" s="102">
        <f t="shared" ref="F205:F206" si="27">E205*D205</f>
        <v>7812</v>
      </c>
      <c r="G205" s="103"/>
      <c r="H205" s="129">
        <v>35</v>
      </c>
      <c r="I205" s="130">
        <v>62</v>
      </c>
      <c r="J205" s="131">
        <v>1.8</v>
      </c>
      <c r="K205" s="132">
        <f t="shared" ref="K205:K206" si="28">H205*D205</f>
        <v>70</v>
      </c>
      <c r="L205" s="30"/>
      <c r="M205" s="30"/>
    </row>
    <row r="206" spans="1:13" ht="15">
      <c r="A206" s="98"/>
      <c r="B206" s="99" t="s">
        <v>381</v>
      </c>
      <c r="C206" s="100" t="s">
        <v>382</v>
      </c>
      <c r="D206" s="101">
        <v>2</v>
      </c>
      <c r="E206" s="102">
        <f t="shared" si="26"/>
        <v>30355.200000000001</v>
      </c>
      <c r="F206" s="102">
        <f t="shared" si="27"/>
        <v>60710.400000000001</v>
      </c>
      <c r="G206" s="103"/>
      <c r="H206" s="129">
        <v>272</v>
      </c>
      <c r="I206" s="130">
        <v>62</v>
      </c>
      <c r="J206" s="131">
        <v>1.8</v>
      </c>
      <c r="K206" s="132">
        <f t="shared" si="28"/>
        <v>544</v>
      </c>
      <c r="L206" s="30"/>
      <c r="M206" s="30"/>
    </row>
    <row r="207" spans="1:13" ht="15">
      <c r="A207" s="98"/>
      <c r="B207" s="254" t="s">
        <v>245</v>
      </c>
      <c r="C207" s="255"/>
      <c r="D207" s="255"/>
      <c r="E207" s="256"/>
      <c r="F207" s="104">
        <f>SUM(F202:F206)</f>
        <v>906824.4</v>
      </c>
      <c r="G207" s="103"/>
      <c r="H207" s="137"/>
      <c r="I207" s="137"/>
      <c r="J207" s="138"/>
      <c r="K207" s="139"/>
      <c r="L207" s="30"/>
      <c r="M207" s="30"/>
    </row>
    <row r="208" spans="1:13" ht="15">
      <c r="H208" s="126"/>
      <c r="I208" s="126"/>
      <c r="J208" s="126"/>
      <c r="K208" s="126"/>
      <c r="L208" s="30"/>
      <c r="M208" s="30"/>
    </row>
    <row r="209" spans="1:13" ht="15">
      <c r="A209" s="94"/>
      <c r="B209" s="252" t="s">
        <v>383</v>
      </c>
      <c r="C209" s="253"/>
      <c r="D209" s="95" t="s">
        <v>213</v>
      </c>
      <c r="E209" s="95" t="s">
        <v>2</v>
      </c>
      <c r="F209" s="96" t="s">
        <v>214</v>
      </c>
      <c r="G209" s="97"/>
      <c r="H209" s="127" t="s">
        <v>385</v>
      </c>
      <c r="I209" s="127" t="s">
        <v>386</v>
      </c>
      <c r="J209" s="127" t="s">
        <v>387</v>
      </c>
      <c r="K209" s="127" t="s">
        <v>388</v>
      </c>
      <c r="L209" s="30"/>
      <c r="M209" s="30"/>
    </row>
    <row r="210" spans="1:13" ht="15">
      <c r="A210" s="98"/>
      <c r="B210" s="99" t="s">
        <v>237</v>
      </c>
      <c r="C210" s="100" t="s">
        <v>238</v>
      </c>
      <c r="D210" s="101">
        <v>2</v>
      </c>
      <c r="E210" s="102">
        <f t="shared" ref="E210:E211" si="29">H210*I210*J210</f>
        <v>128786.40000000001</v>
      </c>
      <c r="F210" s="102">
        <f t="shared" ref="F210:F211" si="30">E210*D210</f>
        <v>257572.80000000002</v>
      </c>
      <c r="G210" s="103"/>
      <c r="H210" s="129">
        <v>1154</v>
      </c>
      <c r="I210" s="130">
        <v>62</v>
      </c>
      <c r="J210" s="131">
        <v>1.8</v>
      </c>
      <c r="K210" s="132">
        <f t="shared" ref="K210:K211" si="31">H210*D210</f>
        <v>2308</v>
      </c>
      <c r="L210" s="30"/>
      <c r="M210" s="30"/>
    </row>
    <row r="211" spans="1:13">
      <c r="A211" s="98"/>
      <c r="B211" s="99" t="s">
        <v>239</v>
      </c>
      <c r="C211" s="100" t="s">
        <v>240</v>
      </c>
      <c r="D211" s="101">
        <v>2</v>
      </c>
      <c r="E211" s="102">
        <f t="shared" si="29"/>
        <v>14284.800000000001</v>
      </c>
      <c r="F211" s="102">
        <f t="shared" si="30"/>
        <v>28569.600000000002</v>
      </c>
      <c r="G211" s="103"/>
      <c r="H211" s="129">
        <v>128</v>
      </c>
      <c r="I211" s="130">
        <v>62</v>
      </c>
      <c r="J211" s="131">
        <v>1.8</v>
      </c>
      <c r="K211" s="132">
        <f t="shared" si="31"/>
        <v>256</v>
      </c>
      <c r="L211" s="30"/>
      <c r="M211" s="30"/>
    </row>
    <row r="212" spans="1:13" ht="15">
      <c r="A212" s="98"/>
      <c r="B212" s="254" t="s">
        <v>245</v>
      </c>
      <c r="C212" s="255"/>
      <c r="D212" s="255"/>
      <c r="E212" s="256"/>
      <c r="F212" s="104">
        <f>SUM(F210:F211)</f>
        <v>286142.40000000002</v>
      </c>
      <c r="G212" s="103"/>
      <c r="H212" s="137"/>
      <c r="I212" s="137"/>
      <c r="J212" s="138"/>
      <c r="K212" s="139"/>
      <c r="L212" s="30"/>
      <c r="M212" s="30"/>
    </row>
    <row r="213" spans="1:13" ht="15"/>
  </sheetData>
  <sheetProtection algorithmName="SHA-512" hashValue="ZmJJ+nt1ZAkst+uSHmL7NU3LnzMWtpqalapPeXGA3bhsy7VJdOODH5L0d3eVsKGG46eARLuZ0lQbcINyr97J/Q==" saltValue="h7FwklMHlNiOUum+58OvcQ==" spinCount="100000" sheet="1" objects="1" scenarios="1"/>
  <dataConsolidate/>
  <mergeCells count="53">
    <mergeCell ref="H5:J5"/>
    <mergeCell ref="B1:D1"/>
    <mergeCell ref="B2:D2"/>
    <mergeCell ref="B3:D3"/>
    <mergeCell ref="E3:F3"/>
    <mergeCell ref="B4:D4"/>
    <mergeCell ref="D42:F42"/>
    <mergeCell ref="C6:D6"/>
    <mergeCell ref="H6:J7"/>
    <mergeCell ref="C7:D7"/>
    <mergeCell ref="C8:D8"/>
    <mergeCell ref="C9:D9"/>
    <mergeCell ref="B10:F10"/>
    <mergeCell ref="I10:J10"/>
    <mergeCell ref="H11:K28"/>
    <mergeCell ref="I29:J29"/>
    <mergeCell ref="I30:J30"/>
    <mergeCell ref="I31:J31"/>
    <mergeCell ref="I33:J33"/>
    <mergeCell ref="B152:E152"/>
    <mergeCell ref="B50:C50"/>
    <mergeCell ref="B66:E66"/>
    <mergeCell ref="B68:C68"/>
    <mergeCell ref="B93:E93"/>
    <mergeCell ref="B95:C95"/>
    <mergeCell ref="B111:E111"/>
    <mergeCell ref="B113:C113"/>
    <mergeCell ref="B123:E123"/>
    <mergeCell ref="B125:C125"/>
    <mergeCell ref="B138:E138"/>
    <mergeCell ref="B140:C140"/>
    <mergeCell ref="B174:E174"/>
    <mergeCell ref="B154:C154"/>
    <mergeCell ref="B155:C155"/>
    <mergeCell ref="B156:C156"/>
    <mergeCell ref="B157:C157"/>
    <mergeCell ref="B158:C158"/>
    <mergeCell ref="B159:C159"/>
    <mergeCell ref="B160:E160"/>
    <mergeCell ref="B162:E162"/>
    <mergeCell ref="B163:E163"/>
    <mergeCell ref="B164:E164"/>
    <mergeCell ref="B168:C168"/>
    <mergeCell ref="B201:C201"/>
    <mergeCell ref="B207:E207"/>
    <mergeCell ref="B209:C209"/>
    <mergeCell ref="B212:E212"/>
    <mergeCell ref="B176:C176"/>
    <mergeCell ref="B179:E179"/>
    <mergeCell ref="B183:C183"/>
    <mergeCell ref="B191:E191"/>
    <mergeCell ref="B193:C193"/>
    <mergeCell ref="B197:E197"/>
  </mergeCells>
  <conditionalFormatting sqref="D51:D65 D69:D92 D96:D110 D114:D122 D155:D159">
    <cfRule type="cellIs" dxfId="8" priority="9" operator="equal">
      <formula>0</formula>
    </cfRule>
  </conditionalFormatting>
  <conditionalFormatting sqref="D126:D137">
    <cfRule type="cellIs" dxfId="7" priority="8" operator="equal">
      <formula>0</formula>
    </cfRule>
  </conditionalFormatting>
  <conditionalFormatting sqref="D141:D151">
    <cfRule type="cellIs" dxfId="6" priority="7" operator="equal">
      <formula>0</formula>
    </cfRule>
  </conditionalFormatting>
  <conditionalFormatting sqref="D169:D173">
    <cfRule type="cellIs" dxfId="5" priority="6" operator="equal">
      <formula>0</formula>
    </cfRule>
  </conditionalFormatting>
  <conditionalFormatting sqref="D177:D178">
    <cfRule type="cellIs" dxfId="4" priority="5" operator="equal">
      <formula>0</formula>
    </cfRule>
  </conditionalFormatting>
  <conditionalFormatting sqref="D184:D190">
    <cfRule type="cellIs" dxfId="3" priority="4" operator="equal">
      <formula>0</formula>
    </cfRule>
  </conditionalFormatting>
  <conditionalFormatting sqref="D194:D196">
    <cfRule type="cellIs" dxfId="2" priority="3" operator="equal">
      <formula>0</formula>
    </cfRule>
  </conditionalFormatting>
  <conditionalFormatting sqref="D202:D206">
    <cfRule type="cellIs" dxfId="1" priority="2" operator="equal">
      <formula>0</formula>
    </cfRule>
  </conditionalFormatting>
  <conditionalFormatting sqref="D210:D211">
    <cfRule type="cellIs" dxfId="0" priority="1" operator="equal">
      <formula>0</formula>
    </cfRule>
  </conditionalFormatting>
  <dataValidations count="28">
    <dataValidation allowBlank="1" showInputMessage="1" showErrorMessage="1" prompt="Append company Contact Name, Phone Number, and Email address in this cell" sqref="B40:D40 F40"/>
    <dataValidation allowBlank="1" showInputMessage="1" showErrorMessage="1" prompt="Enter customer Phone number in this cell" sqref="B6:C6"/>
    <dataValidation allowBlank="1" showInputMessage="1" showErrorMessage="1" prompt="Enter customer City, State, and Zip Code in this cell" sqref="B7:C7"/>
    <dataValidation allowBlank="1" showInputMessage="1" showErrorMessage="1" prompt="Enter customer Street Address in this cell" sqref="B5:C5"/>
    <dataValidation allowBlank="1" showInputMessage="1" showErrorMessage="1" prompt="Enter customer Company Name in this cell" sqref="B9:C9"/>
    <dataValidation allowBlank="1" showInputMessage="1" showErrorMessage="1" prompt="Enter customer Name in this cell" sqref="B8:C8"/>
    <dataValidation allowBlank="1" showInputMessage="1" showErrorMessage="1" prompt="Enter company Street Address in this cell" sqref="B2"/>
    <dataValidation allowBlank="1" showInputMessage="1" showErrorMessage="1" prompt="Enter Company Name in this cell and slogan in cell below. Quotation title is in cell at right" sqref="B1:D1"/>
    <dataValidation allowBlank="1" showInputMessage="1" showErrorMessage="1" prompt="Enter Quotation end date in cell at right" sqref="E4"/>
    <dataValidation allowBlank="1" showInputMessage="1" showErrorMessage="1" prompt="Enter Prepared by name in cell at right" sqref="E5"/>
    <dataValidation allowBlank="1" showInputMessage="1" showErrorMessage="1" prompt="Enter Quotation number in this cell" sqref="F2"/>
    <dataValidation allowBlank="1" showInputMessage="1" showErrorMessage="1" prompt="Enter Quotation end date in this cell" sqref="F4"/>
    <dataValidation allowBlank="1" showInputMessage="1" showErrorMessage="1" prompt="Enter Prepared by name in this cell" sqref="F5:F6 F8"/>
    <dataValidation allowBlank="1" showInputMessage="1" showErrorMessage="1" prompt="Enter Tax Rate in this cell" sqref="F30"/>
    <dataValidation allowBlank="1" showInputMessage="1" showErrorMessage="1" prompt="Enter Tax Rate in cell at right" sqref="E30"/>
    <dataValidation allowBlank="1" showInputMessage="1" showErrorMessage="1" prompt="Sales Tax amount is automatically calculated in cell at right" sqref="E31"/>
    <dataValidation allowBlank="1" showInputMessage="1" showErrorMessage="1" prompt="Enter Other amount in cell at right" sqref="E32"/>
    <dataValidation allowBlank="1" showInputMessage="1" showErrorMessage="1" prompt="Total due is automatically calculated in this cell" sqref="F31:F32"/>
    <dataValidation allowBlank="1" showInputMessage="1" showErrorMessage="1" prompt="Total due is automatically calculated in cell at right" sqref="E33:E34"/>
    <dataValidation allowBlank="1" showInputMessage="1" showErrorMessage="1" prompt="Create a Price quote with tax calculation in this worksheet. Enter company, customer, quotation, shipping, and product details. Total due is automatically calculated" sqref="A1"/>
    <dataValidation allowBlank="1" showInputMessage="1" showErrorMessage="1" prompt="Enter 'T' for taxable items in this column under this heading" sqref="E11"/>
    <dataValidation allowBlank="1" showInputMessage="1" showErrorMessage="1" prompt="Amount is automatically calculated in this column under this heading and Subtotal is automatically calculated at the end of the table" sqref="F11"/>
    <dataValidation allowBlank="1" showInputMessage="1" showErrorMessage="1" prompt="Enter Unit Price in this column under this heading" sqref="D11"/>
    <dataValidation allowBlank="1" showInputMessage="1" showErrorMessage="1" prompt="Enter Description in this column under this heading" sqref="C11"/>
    <dataValidation allowBlank="1" showInputMessage="1" showErrorMessage="1" prompt="Enter Quantity in this column under this heading" sqref="B11"/>
    <dataValidation allowBlank="1" showInputMessage="1" showErrorMessage="1" prompt="Enter Comments or Special Instructions in cell at right" sqref="B10"/>
    <dataValidation allowBlank="1" showInputMessage="1" showErrorMessage="1" prompt="Enter customer Name, Company Name, Street Address, and Phone number in cells below, from cell B8 through B12, Quotation end date in cell G7 and Prepared by name in cell G8" sqref="B4:C4"/>
    <dataValidation allowBlank="1" showInputMessage="1" showErrorMessage="1" prompt="Enter company Phone and Fax numbers in this cell" sqref="B3:C3"/>
  </dataValidations>
  <printOptions horizontalCentered="1"/>
  <pageMargins left="0.7" right="0.7" top="0.75" bottom="0.75" header="0.3" footer="0.3"/>
  <pageSetup scale="78" fitToHeight="0" orientation="portrait" r:id="rId1"/>
  <headerFooter differentFirst="1">
    <oddFooter>Page &amp;P of &amp;N</oddFooter>
  </headerFooter>
  <rowBreaks count="1" manualBreakCount="1">
    <brk id="43" max="6" man="1"/>
  </rowBreaks>
  <drawing r:id="rId2"/>
  <legacyDrawing r:id="rId3"/>
  <controls>
    <mc:AlternateContent xmlns:mc="http://schemas.openxmlformats.org/markup-compatibility/2006">
      <mc:Choice Requires="x14">
        <control shapeId="4097" r:id="rId4" name="cmdSendtoDash">
          <controlPr defaultSize="0" disabled="1" autoLine="0" r:id="rId5">
            <anchor moveWithCells="1">
              <from>
                <xdr:col>7</xdr:col>
                <xdr:colOff>304800</xdr:colOff>
                <xdr:row>2</xdr:row>
                <xdr:rowOff>180975</xdr:rowOff>
              </from>
              <to>
                <xdr:col>9</xdr:col>
                <xdr:colOff>361950</xdr:colOff>
                <xdr:row>3</xdr:row>
                <xdr:rowOff>123825</xdr:rowOff>
              </to>
            </anchor>
          </controlPr>
        </control>
      </mc:Choice>
      <mc:Fallback>
        <control shapeId="4097" r:id="rId4" name="cmdSendtoDash"/>
      </mc:Fallback>
    </mc:AlternateContent>
    <mc:AlternateContent xmlns:mc="http://schemas.openxmlformats.org/markup-compatibility/2006">
      <mc:Choice Requires="x14">
        <control shapeId="4098" r:id="rId6" name="cmdRevise">
          <controlPr defaultSize="0" autoLine="0" r:id="rId7">
            <anchor moveWithCells="1">
              <from>
                <xdr:col>7</xdr:col>
                <xdr:colOff>304800</xdr:colOff>
                <xdr:row>6</xdr:row>
                <xdr:rowOff>390525</xdr:rowOff>
              </from>
              <to>
                <xdr:col>9</xdr:col>
                <xdr:colOff>361950</xdr:colOff>
                <xdr:row>8</xdr:row>
                <xdr:rowOff>28575</xdr:rowOff>
              </to>
            </anchor>
          </controlPr>
        </control>
      </mc:Choice>
      <mc:Fallback>
        <control shapeId="4098" r:id="rId6" name="cmdRevi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vt:i4>
      </vt:variant>
    </vt:vector>
  </HeadingPairs>
  <TitlesOfParts>
    <vt:vector size="35" baseType="lpstr">
      <vt:lpstr>Dashboard</vt:lpstr>
      <vt:lpstr>Logs</vt:lpstr>
      <vt:lpstr>Template</vt:lpstr>
      <vt:lpstr>19-016</vt:lpstr>
      <vt:lpstr>19-015</vt:lpstr>
      <vt:lpstr>19-014</vt:lpstr>
      <vt:lpstr>19-013</vt:lpstr>
      <vt:lpstr>'19-013'!ColumnTitleRegion1..B11.1</vt:lpstr>
      <vt:lpstr>'19-014'!ColumnTitleRegion1..B11.1</vt:lpstr>
      <vt:lpstr>'19-015'!ColumnTitleRegion1..B11.1</vt:lpstr>
      <vt:lpstr>'19-016'!ColumnTitleRegion1..B11.1</vt:lpstr>
      <vt:lpstr>ColumnTitleRegion1..B11.1</vt:lpstr>
      <vt:lpstr>'19-013'!Print_Area</vt:lpstr>
      <vt:lpstr>'19-014'!Print_Area</vt:lpstr>
      <vt:lpstr>'19-015'!Print_Area</vt:lpstr>
      <vt:lpstr>'19-016'!Print_Area</vt:lpstr>
      <vt:lpstr>Dashboard!Print_Area</vt:lpstr>
      <vt:lpstr>Template!Print_Area</vt:lpstr>
      <vt:lpstr>'19-013'!Print_Titles</vt:lpstr>
      <vt:lpstr>'19-014'!Print_Titles</vt:lpstr>
      <vt:lpstr>'19-013'!RowTitleRegion2..G7</vt:lpstr>
      <vt:lpstr>'19-014'!RowTitleRegion2..G7</vt:lpstr>
      <vt:lpstr>'19-015'!RowTitleRegion2..G7</vt:lpstr>
      <vt:lpstr>'19-016'!RowTitleRegion2..G7</vt:lpstr>
      <vt:lpstr>RowTitleRegion2..G7</vt:lpstr>
      <vt:lpstr>'19-013'!RowTitleRegion3..D12</vt:lpstr>
      <vt:lpstr>'19-014'!RowTitleRegion3..D12</vt:lpstr>
      <vt:lpstr>'19-015'!RowTitleRegion3..D12</vt:lpstr>
      <vt:lpstr>'19-016'!RowTitleRegion3..D12</vt:lpstr>
      <vt:lpstr>RowTitleRegion3..D12</vt:lpstr>
      <vt:lpstr>'19-013'!RowTitleRegion4..G26</vt:lpstr>
      <vt:lpstr>'19-014'!RowTitleRegion4..G26</vt:lpstr>
      <vt:lpstr>'19-015'!RowTitleRegion4..G26</vt:lpstr>
      <vt:lpstr>'19-016'!RowTitleRegion4..G26</vt:lpstr>
      <vt:lpstr>RowTitleRegion4..G26</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IT Department</dc:creator>
  <cp:lastModifiedBy>Project Manager</cp:lastModifiedBy>
  <cp:lastPrinted>2019-03-19T06:39:53Z</cp:lastPrinted>
  <dcterms:created xsi:type="dcterms:W3CDTF">2017-08-09T17:37:02Z</dcterms:created>
  <dcterms:modified xsi:type="dcterms:W3CDTF">2019-03-19T06:56:41Z</dcterms:modified>
</cp:coreProperties>
</file>